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oão\Documents\Aulas\Mestrado\Projeto Software\Docs\Project Management\"/>
    </mc:Choice>
  </mc:AlternateContent>
  <bookViews>
    <workbookView xWindow="0" yWindow="0" windowWidth="15348" windowHeight="4632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11" i="2" l="1"/>
  <c r="P48" i="2"/>
  <c r="Q48" i="2" s="1"/>
  <c r="R48" i="2" s="1"/>
  <c r="S48" i="2" s="1"/>
  <c r="T48" i="2" s="1"/>
  <c r="U48" i="2" s="1"/>
  <c r="V48" i="2" s="1"/>
  <c r="W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/>
  <c r="R55" i="2" s="1"/>
  <c r="S55" i="2" s="1"/>
  <c r="T55" i="2" s="1"/>
  <c r="U55" i="2" s="1"/>
  <c r="V55" i="2" s="1"/>
  <c r="W55" i="2" s="1"/>
  <c r="P52" i="2"/>
  <c r="Q52" i="2" s="1"/>
  <c r="P51" i="2"/>
  <c r="R43" i="2"/>
  <c r="Q42" i="2"/>
  <c r="P41" i="2"/>
  <c r="O40" i="2"/>
  <c r="R8" i="2"/>
  <c r="M55" i="2" l="1"/>
  <c r="R54" i="2"/>
  <c r="S54" i="2" s="1"/>
  <c r="T54" i="2" s="1"/>
  <c r="U54" i="2" s="1"/>
  <c r="V54" i="2" s="1"/>
  <c r="W54" i="2" s="1"/>
  <c r="L53" i="2" a="1"/>
  <c r="L53" i="2" s="1"/>
  <c r="L55" i="2" a="1"/>
  <c r="L55" i="2" s="1"/>
  <c r="N54" i="2"/>
  <c r="M54" i="2"/>
  <c r="N55" i="2"/>
  <c r="N53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M52" i="2" l="1"/>
  <c r="M49" i="2"/>
  <c r="L54" i="2" a="1"/>
  <c r="L54" i="2" s="1"/>
  <c r="L51" i="2" a="1"/>
  <c r="L51" i="2" s="1"/>
  <c r="N52" i="2"/>
  <c r="L52" i="2" a="1"/>
  <c r="L52" i="2" s="1"/>
  <c r="N50" i="2"/>
  <c r="N51" i="2"/>
  <c r="M51" i="2"/>
  <c r="L50" i="2" a="1"/>
  <c r="L50" i="2" s="1"/>
  <c r="M50" i="2"/>
  <c r="L49" i="2" a="1"/>
  <c r="L49" i="2" s="1"/>
  <c r="N48" i="2"/>
  <c r="N49" i="2"/>
  <c r="L48" i="2" a="1"/>
  <c r="L48" i="2" s="1"/>
  <c r="P42" i="2"/>
  <c r="S42" i="2" s="1"/>
  <c r="T42" i="2" s="1"/>
  <c r="U42" i="2" s="1"/>
  <c r="V42" i="2" s="1"/>
  <c r="P43" i="2"/>
  <c r="Q43" i="2" s="1"/>
  <c r="S43" i="2" s="1"/>
  <c r="T43" i="2" s="1"/>
  <c r="U43" i="2" s="1"/>
  <c r="V43" i="2" s="1"/>
  <c r="W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Q59" i="2" l="1"/>
  <c r="R59" i="2" s="1"/>
  <c r="S59" i="2" s="1"/>
  <c r="T59" i="2" s="1"/>
  <c r="U59" i="2" s="1"/>
  <c r="V59" i="2" s="1"/>
  <c r="W59" i="2" s="1"/>
  <c r="M47" i="2"/>
  <c r="M43" i="2"/>
  <c r="L58" i="2" a="1"/>
  <c r="L58" i="2" s="1"/>
  <c r="R57" i="2"/>
  <c r="S57" i="2" s="1"/>
  <c r="T57" i="2" s="1"/>
  <c r="U57" i="2" s="1"/>
  <c r="V57" i="2" s="1"/>
  <c r="W57" i="2" s="1"/>
  <c r="R45" i="2"/>
  <c r="S45" i="2" s="1"/>
  <c r="T45" i="2" s="1"/>
  <c r="U45" i="2" s="1"/>
  <c r="V45" i="2" s="1"/>
  <c r="W45" i="2" s="1"/>
  <c r="N58" i="2"/>
  <c r="M58" i="2"/>
  <c r="M46" i="2"/>
  <c r="Q56" i="2"/>
  <c r="Q44" i="2"/>
  <c r="O71" i="2"/>
  <c r="M7" i="2"/>
  <c r="M10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7" i="2" l="1"/>
  <c r="N59" i="2"/>
  <c r="N57" i="2"/>
  <c r="L47" i="2" a="1"/>
  <c r="L47" i="2" s="1"/>
  <c r="M59" i="2"/>
  <c r="L59" i="2" a="1"/>
  <c r="L59" i="2" s="1"/>
  <c r="L57" i="2" a="1"/>
  <c r="L57" i="2" s="1"/>
  <c r="N45" i="2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L10" i="2" a="1"/>
  <c r="L10" i="2" s="1"/>
  <c r="S44" i="2" l="1"/>
  <c r="T44" i="2" s="1"/>
  <c r="U44" i="2" s="1"/>
  <c r="V44" i="2" s="1"/>
  <c r="W44" i="2" s="1"/>
  <c r="N44" i="2"/>
  <c r="S56" i="2"/>
  <c r="R3" i="2"/>
  <c r="S3" i="2" s="1"/>
  <c r="O66" i="2"/>
  <c r="W62" i="2"/>
  <c r="O60" i="2"/>
  <c r="T12" i="2"/>
  <c r="U12" i="2" s="1"/>
  <c r="V12" i="2" s="1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M44" i="2" l="1"/>
  <c r="L46" i="2" a="1"/>
  <c r="L46" i="2" s="1"/>
  <c r="N46" i="2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K63" i="2"/>
  <c r="L35" i="2" l="1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3" i="2" l="1"/>
  <c r="N41" i="2"/>
  <c r="V56" i="2"/>
  <c r="W56" i="2" s="1"/>
  <c r="N56" i="2" s="1"/>
  <c r="V14" i="2"/>
  <c r="V3" i="2"/>
  <c r="M56" i="2" l="1"/>
  <c r="L56" i="2" a="1"/>
  <c r="L56" i="2" s="1"/>
  <c r="W14" i="2"/>
  <c r="M14" i="2" s="1"/>
  <c r="N3" i="2"/>
  <c r="O70" i="2"/>
  <c r="O76" i="2"/>
  <c r="P60" i="2"/>
  <c r="O65" i="2" l="1"/>
  <c r="P66" i="2"/>
  <c r="Q40" i="2"/>
  <c r="Q76" i="2"/>
  <c r="P70" i="2"/>
  <c r="O78" i="2"/>
  <c r="N13" i="2"/>
  <c r="N37" i="2"/>
  <c r="N35" i="2"/>
  <c r="N32" i="2"/>
  <c r="N15" i="2"/>
  <c r="P71" i="2"/>
  <c r="P76" i="2"/>
  <c r="P65" i="2" l="1"/>
  <c r="Q60" i="2"/>
  <c r="Q66" i="2"/>
  <c r="Q70" i="2"/>
  <c r="R40" i="2"/>
  <c r="P78" i="2"/>
  <c r="R76" i="2"/>
  <c r="N36" i="2"/>
  <c r="N39" i="2"/>
  <c r="Q71" i="2"/>
  <c r="R70" i="2"/>
  <c r="N16" i="2"/>
  <c r="N38" i="2"/>
  <c r="Q78" i="2" l="1"/>
  <c r="Q65" i="2"/>
  <c r="R60" i="2"/>
  <c r="R66" i="2"/>
  <c r="S40" i="2"/>
  <c r="S76" i="2"/>
  <c r="R71" i="2"/>
  <c r="R78" i="2" s="1"/>
  <c r="S70" i="2" l="1"/>
  <c r="R65" i="2"/>
  <c r="S60" i="2"/>
  <c r="T40" i="2"/>
  <c r="T60" i="2" s="1"/>
  <c r="S71" i="2"/>
  <c r="T76" i="2"/>
  <c r="S78" i="2" l="1"/>
  <c r="T70" i="2"/>
  <c r="U40" i="2"/>
  <c r="U70" i="2"/>
  <c r="U76" i="2"/>
  <c r="T71" i="2"/>
  <c r="U60" i="2" l="1"/>
  <c r="T78" i="2"/>
  <c r="V40" i="2"/>
  <c r="V76" i="2"/>
  <c r="U71" i="2"/>
  <c r="U78" i="2" s="1"/>
  <c r="V60" i="2" l="1"/>
  <c r="V70" i="2"/>
  <c r="N14" i="2"/>
  <c r="V71" i="2"/>
  <c r="W60" i="2" l="1"/>
  <c r="N42" i="2"/>
  <c r="L40" i="2" a="1"/>
  <c r="L40" i="2" s="1"/>
  <c r="M40" i="2"/>
  <c r="V78" i="2"/>
  <c r="W70" i="2"/>
  <c r="N4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3" i="2" s="1"/>
  <c r="Q2" i="2"/>
  <c r="P69" i="2"/>
  <c r="L44" i="2" l="1" a="1"/>
  <c r="L44" i="2" s="1"/>
  <c r="L42" i="2" a="1"/>
  <c r="L42" i="2" s="1"/>
  <c r="M42" i="2"/>
  <c r="M6" i="2"/>
  <c r="L8" i="2" a="1"/>
  <c r="L8" i="2" s="1"/>
  <c r="R2" i="2"/>
  <c r="M9" i="2" s="1"/>
  <c r="M5" i="2"/>
  <c r="L5" i="2" a="1"/>
  <c r="L5" i="2" s="1"/>
  <c r="P62" i="2"/>
  <c r="P63" i="2" s="1"/>
  <c r="L16" i="2" a="1"/>
  <c r="L16" i="2" s="1"/>
  <c r="L14" i="2" a="1"/>
  <c r="L14" i="2" s="1"/>
  <c r="Q69" i="2"/>
  <c r="L12" i="2" l="1" a="1"/>
  <c r="L12" i="2" s="1"/>
  <c r="M12" i="2"/>
  <c r="L45" i="2" a="1"/>
  <c r="L45" i="2" s="1"/>
  <c r="L43" i="2" a="1"/>
  <c r="L43" i="2" s="1"/>
  <c r="M8" i="2"/>
  <c r="Q62" i="2"/>
  <c r="Q63" i="2" s="1"/>
  <c r="S2" i="2"/>
  <c r="M13" i="2" s="1"/>
  <c r="R69" i="2"/>
  <c r="L13" i="2" l="1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  <c r="N64" i="2"/>
  <c r="O64" i="2" s="1" a="1"/>
  <c r="O64" i="2" s="1"/>
  <c r="P64" i="2" s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V64" i="2" s="1" a="1"/>
  <c r="V64" i="2" s="1"/>
  <c r="J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<sst xmlns="http://schemas.openxmlformats.org/spreadsheetml/2006/main" count="242" uniqueCount="131">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</sst>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4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78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113.25</c:v>
                </c:pt>
                <c:pt idx="5">
                  <c:v>139.25</c:v>
                </c:pt>
                <c:pt idx="6">
                  <c:v>167.25</c:v>
                </c:pt>
                <c:pt idx="7">
                  <c:v>215.25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120.25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73.75</c:v>
                </c:pt>
                <c:pt idx="4">
                  <c:v>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784440"/>
        <c:axId val="253785224"/>
      </c:lineChart>
      <c:catAx>
        <c:axId val="253784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3785224"/>
        <c:crosses val="autoZero"/>
        <c:auto val="0"/>
        <c:lblAlgn val="ctr"/>
        <c:lblOffset val="100"/>
        <c:noMultiLvlLbl val="0"/>
      </c:catAx>
      <c:valAx>
        <c:axId val="2537852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3784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09375" defaultRowHeight="13.8" x14ac:dyDescent="0.3"/>
  <cols>
    <col min="1" max="1" width="3.88671875" style="2" customWidth="1"/>
    <col min="2" max="2" width="163.5546875" style="2" bestFit="1" customWidth="1"/>
    <col min="3" max="4" width="9.109375" style="2"/>
    <col min="5" max="8" width="10.109375" style="2" bestFit="1" customWidth="1"/>
    <col min="9" max="16384" width="9.109375" style="2"/>
  </cols>
  <sheetData>
    <row r="1" spans="2:2" ht="14.4" thickBot="1" x14ac:dyDescent="0.35"/>
    <row r="2" spans="2:2" ht="14.4" thickBot="1" x14ac:dyDescent="0.35">
      <c r="B2" s="9" t="s">
        <v>25</v>
      </c>
    </row>
    <row r="3" spans="2:2" x14ac:dyDescent="0.3">
      <c r="B3" s="14"/>
    </row>
    <row r="4" spans="2:2" x14ac:dyDescent="0.3">
      <c r="B4" s="15" t="s">
        <v>40</v>
      </c>
    </row>
    <row r="5" spans="2:2" x14ac:dyDescent="0.3">
      <c r="B5" s="7" t="s">
        <v>41</v>
      </c>
    </row>
    <row r="6" spans="2:2" x14ac:dyDescent="0.3">
      <c r="B6" s="7" t="s">
        <v>42</v>
      </c>
    </row>
    <row r="7" spans="2:2" x14ac:dyDescent="0.3">
      <c r="B7" s="7" t="s">
        <v>62</v>
      </c>
    </row>
    <row r="8" spans="2:2" x14ac:dyDescent="0.3">
      <c r="B8" s="7" t="s">
        <v>43</v>
      </c>
    </row>
    <row r="9" spans="2:2" x14ac:dyDescent="0.3">
      <c r="B9" s="7" t="s">
        <v>44</v>
      </c>
    </row>
    <row r="10" spans="2:2" x14ac:dyDescent="0.3">
      <c r="B10" s="7" t="s">
        <v>45</v>
      </c>
    </row>
    <row r="11" spans="2:2" x14ac:dyDescent="0.3">
      <c r="B11" s="7" t="s">
        <v>46</v>
      </c>
    </row>
    <row r="12" spans="2:2" x14ac:dyDescent="0.3">
      <c r="B12" s="7" t="s">
        <v>47</v>
      </c>
    </row>
    <row r="13" spans="2:2" x14ac:dyDescent="0.3">
      <c r="B13" s="7"/>
    </row>
    <row r="14" spans="2:2" x14ac:dyDescent="0.3">
      <c r="B14" s="15" t="s">
        <v>30</v>
      </c>
    </row>
    <row r="15" spans="2:2" x14ac:dyDescent="0.3">
      <c r="B15" s="7" t="s">
        <v>37</v>
      </c>
    </row>
    <row r="16" spans="2:2" x14ac:dyDescent="0.3">
      <c r="B16" s="7" t="s">
        <v>57</v>
      </c>
    </row>
    <row r="17" spans="2:2" x14ac:dyDescent="0.3">
      <c r="B17" s="7" t="s">
        <v>38</v>
      </c>
    </row>
    <row r="18" spans="2:2" x14ac:dyDescent="0.3">
      <c r="B18" s="7" t="s">
        <v>39</v>
      </c>
    </row>
    <row r="19" spans="2:2" x14ac:dyDescent="0.3">
      <c r="B19" s="7" t="s">
        <v>63</v>
      </c>
    </row>
    <row r="20" spans="2:2" x14ac:dyDescent="0.3">
      <c r="B20" s="7" t="s">
        <v>64</v>
      </c>
    </row>
    <row r="21" spans="2:2" x14ac:dyDescent="0.3">
      <c r="B21" s="7" t="s">
        <v>48</v>
      </c>
    </row>
    <row r="22" spans="2:2" x14ac:dyDescent="0.3">
      <c r="B22" s="7"/>
    </row>
    <row r="23" spans="2:2" x14ac:dyDescent="0.3">
      <c r="B23" s="66" t="s">
        <v>68</v>
      </c>
    </row>
    <row r="24" spans="2:2" x14ac:dyDescent="0.3">
      <c r="B24" s="7"/>
    </row>
    <row r="25" spans="2:2" x14ac:dyDescent="0.3">
      <c r="B25" s="15" t="s">
        <v>14</v>
      </c>
    </row>
    <row r="26" spans="2:2" x14ac:dyDescent="0.3">
      <c r="B26" s="7" t="s">
        <v>65</v>
      </c>
    </row>
    <row r="27" spans="2:2" x14ac:dyDescent="0.3">
      <c r="B27" s="7" t="s">
        <v>66</v>
      </c>
    </row>
    <row r="28" spans="2:2" x14ac:dyDescent="0.3">
      <c r="B28" s="7" t="s">
        <v>33</v>
      </c>
    </row>
    <row r="29" spans="2:2" x14ac:dyDescent="0.3">
      <c r="B29" s="7" t="s">
        <v>49</v>
      </c>
    </row>
    <row r="30" spans="2:2" x14ac:dyDescent="0.3">
      <c r="B30" s="7"/>
    </row>
    <row r="31" spans="2:2" x14ac:dyDescent="0.3">
      <c r="B31" s="15" t="s">
        <v>29</v>
      </c>
    </row>
    <row r="32" spans="2:2" x14ac:dyDescent="0.3">
      <c r="B32" s="7" t="s">
        <v>50</v>
      </c>
    </row>
    <row r="33" spans="2:2" x14ac:dyDescent="0.3">
      <c r="B33" s="7" t="s">
        <v>67</v>
      </c>
    </row>
    <row r="34" spans="2:2" x14ac:dyDescent="0.3">
      <c r="B34" s="7" t="s">
        <v>52</v>
      </c>
    </row>
    <row r="35" spans="2:2" x14ac:dyDescent="0.3">
      <c r="B35" s="7" t="s">
        <v>51</v>
      </c>
    </row>
    <row r="36" spans="2:2" x14ac:dyDescent="0.3">
      <c r="B36" s="7" t="s">
        <v>53</v>
      </c>
    </row>
    <row r="37" spans="2:2" x14ac:dyDescent="0.3">
      <c r="B37" s="7" t="s">
        <v>56</v>
      </c>
    </row>
    <row r="38" spans="2:2" x14ac:dyDescent="0.3">
      <c r="B38" s="7" t="s">
        <v>54</v>
      </c>
    </row>
    <row r="39" spans="2:2" ht="14.4" thickBot="1" x14ac:dyDescent="0.35">
      <c r="B39" s="8"/>
    </row>
    <row r="40" spans="2:2" ht="14.4" thickBot="1" x14ac:dyDescent="0.35"/>
    <row r="41" spans="2:2" x14ac:dyDescent="0.3">
      <c r="B41" s="9" t="s">
        <v>22</v>
      </c>
    </row>
    <row r="42" spans="2:2" x14ac:dyDescent="0.3">
      <c r="B42" s="10" t="s">
        <v>55</v>
      </c>
    </row>
    <row r="43" spans="2:2" x14ac:dyDescent="0.3">
      <c r="B43" s="11" t="s">
        <v>34</v>
      </c>
    </row>
    <row r="44" spans="2:2" x14ac:dyDescent="0.3">
      <c r="B44" s="12" t="s">
        <v>24</v>
      </c>
    </row>
    <row r="45" spans="2:2" x14ac:dyDescent="0.3">
      <c r="B45" s="11" t="s">
        <v>35</v>
      </c>
    </row>
    <row r="46" spans="2:2" x14ac:dyDescent="0.3">
      <c r="B46" s="11" t="s">
        <v>23</v>
      </c>
    </row>
    <row r="47" spans="2:2" ht="14.4" thickBot="1" x14ac:dyDescent="0.35">
      <c r="B47" s="13" t="s">
        <v>36</v>
      </c>
    </row>
    <row r="48" spans="2:2" x14ac:dyDescent="0.3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T7" sqref="T7"/>
    </sheetView>
  </sheetViews>
  <sheetFormatPr defaultRowHeight="13.8" x14ac:dyDescent="0.3"/>
  <cols>
    <col min="1" max="1" width="1.44140625" style="28" customWidth="1"/>
    <col min="2" max="2" width="4.44140625" style="28" customWidth="1"/>
    <col min="3" max="3" width="13" style="40" customWidth="1"/>
    <col min="4" max="4" width="24.88671875" style="40" customWidth="1"/>
    <col min="5" max="5" width="19.6640625" style="40" customWidth="1"/>
    <col min="6" max="6" width="12.5546875" style="40" customWidth="1"/>
    <col min="7" max="8" width="11.33203125" style="40" customWidth="1"/>
    <col min="9" max="11" width="8.6640625" style="40" customWidth="1"/>
    <col min="12" max="12" width="11.33203125" style="41" bestFit="1" customWidth="1"/>
    <col min="13" max="13" width="11.33203125" style="41" customWidth="1"/>
    <col min="14" max="14" width="8.6640625" style="41" customWidth="1"/>
    <col min="15" max="15" width="4.88671875" style="42" customWidth="1"/>
    <col min="16" max="23" width="4.88671875" style="28" customWidth="1"/>
    <col min="24" max="24" width="43.44140625" style="28" customWidth="1"/>
    <col min="25" max="33" width="2.88671875" style="28" customWidth="1"/>
    <col min="34" max="189" width="9.109375" style="28"/>
    <col min="190" max="190" width="40.6640625" style="28" customWidth="1"/>
    <col min="191" max="191" width="10.6640625" style="28" customWidth="1"/>
    <col min="192" max="201" width="12.6640625" style="28" customWidth="1"/>
    <col min="202" max="445" width="9.109375" style="28"/>
    <col min="446" max="446" width="40.6640625" style="28" customWidth="1"/>
    <col min="447" max="447" width="10.6640625" style="28" customWidth="1"/>
    <col min="448" max="457" width="12.6640625" style="28" customWidth="1"/>
    <col min="458" max="701" width="9.109375" style="28"/>
    <col min="702" max="702" width="40.6640625" style="28" customWidth="1"/>
    <col min="703" max="703" width="10.6640625" style="28" customWidth="1"/>
    <col min="704" max="713" width="12.6640625" style="28" customWidth="1"/>
    <col min="714" max="957" width="9.109375" style="28"/>
    <col min="958" max="958" width="40.6640625" style="28" customWidth="1"/>
    <col min="959" max="959" width="10.6640625" style="28" customWidth="1"/>
    <col min="960" max="969" width="12.6640625" style="28" customWidth="1"/>
    <col min="970" max="1213" width="9.109375" style="28"/>
    <col min="1214" max="1214" width="40.6640625" style="28" customWidth="1"/>
    <col min="1215" max="1215" width="10.6640625" style="28" customWidth="1"/>
    <col min="1216" max="1225" width="12.6640625" style="28" customWidth="1"/>
    <col min="1226" max="1469" width="9.109375" style="28"/>
    <col min="1470" max="1470" width="40.6640625" style="28" customWidth="1"/>
    <col min="1471" max="1471" width="10.6640625" style="28" customWidth="1"/>
    <col min="1472" max="1481" width="12.6640625" style="28" customWidth="1"/>
    <col min="1482" max="1725" width="9.109375" style="28"/>
    <col min="1726" max="1726" width="40.6640625" style="28" customWidth="1"/>
    <col min="1727" max="1727" width="10.6640625" style="28" customWidth="1"/>
    <col min="1728" max="1737" width="12.6640625" style="28" customWidth="1"/>
    <col min="1738" max="1981" width="9.109375" style="28"/>
    <col min="1982" max="1982" width="40.6640625" style="28" customWidth="1"/>
    <col min="1983" max="1983" width="10.6640625" style="28" customWidth="1"/>
    <col min="1984" max="1993" width="12.6640625" style="28" customWidth="1"/>
    <col min="1994" max="2237" width="9.109375" style="28"/>
    <col min="2238" max="2238" width="40.6640625" style="28" customWidth="1"/>
    <col min="2239" max="2239" width="10.6640625" style="28" customWidth="1"/>
    <col min="2240" max="2249" width="12.6640625" style="28" customWidth="1"/>
    <col min="2250" max="2493" width="9.109375" style="28"/>
    <col min="2494" max="2494" width="40.6640625" style="28" customWidth="1"/>
    <col min="2495" max="2495" width="10.6640625" style="28" customWidth="1"/>
    <col min="2496" max="2505" width="12.6640625" style="28" customWidth="1"/>
    <col min="2506" max="2749" width="9.109375" style="28"/>
    <col min="2750" max="2750" width="40.6640625" style="28" customWidth="1"/>
    <col min="2751" max="2751" width="10.6640625" style="28" customWidth="1"/>
    <col min="2752" max="2761" width="12.6640625" style="28" customWidth="1"/>
    <col min="2762" max="3005" width="9.109375" style="28"/>
    <col min="3006" max="3006" width="40.6640625" style="28" customWidth="1"/>
    <col min="3007" max="3007" width="10.6640625" style="28" customWidth="1"/>
    <col min="3008" max="3017" width="12.6640625" style="28" customWidth="1"/>
    <col min="3018" max="3261" width="9.109375" style="28"/>
    <col min="3262" max="3262" width="40.6640625" style="28" customWidth="1"/>
    <col min="3263" max="3263" width="10.6640625" style="28" customWidth="1"/>
    <col min="3264" max="3273" width="12.6640625" style="28" customWidth="1"/>
    <col min="3274" max="3517" width="9.109375" style="28"/>
    <col min="3518" max="3518" width="40.6640625" style="28" customWidth="1"/>
    <col min="3519" max="3519" width="10.6640625" style="28" customWidth="1"/>
    <col min="3520" max="3529" width="12.6640625" style="28" customWidth="1"/>
    <col min="3530" max="3773" width="9.109375" style="28"/>
    <col min="3774" max="3774" width="40.6640625" style="28" customWidth="1"/>
    <col min="3775" max="3775" width="10.6640625" style="28" customWidth="1"/>
    <col min="3776" max="3785" width="12.6640625" style="28" customWidth="1"/>
    <col min="3786" max="4029" width="9.109375" style="28"/>
    <col min="4030" max="4030" width="40.6640625" style="28" customWidth="1"/>
    <col min="4031" max="4031" width="10.6640625" style="28" customWidth="1"/>
    <col min="4032" max="4041" width="12.6640625" style="28" customWidth="1"/>
    <col min="4042" max="4285" width="9.109375" style="28"/>
    <col min="4286" max="4286" width="40.6640625" style="28" customWidth="1"/>
    <col min="4287" max="4287" width="10.6640625" style="28" customWidth="1"/>
    <col min="4288" max="4297" width="12.6640625" style="28" customWidth="1"/>
    <col min="4298" max="4541" width="9.109375" style="28"/>
    <col min="4542" max="4542" width="40.6640625" style="28" customWidth="1"/>
    <col min="4543" max="4543" width="10.6640625" style="28" customWidth="1"/>
    <col min="4544" max="4553" width="12.6640625" style="28" customWidth="1"/>
    <col min="4554" max="4797" width="9.109375" style="28"/>
    <col min="4798" max="4798" width="40.6640625" style="28" customWidth="1"/>
    <col min="4799" max="4799" width="10.6640625" style="28" customWidth="1"/>
    <col min="4800" max="4809" width="12.6640625" style="28" customWidth="1"/>
    <col min="4810" max="5053" width="9.109375" style="28"/>
    <col min="5054" max="5054" width="40.6640625" style="28" customWidth="1"/>
    <col min="5055" max="5055" width="10.6640625" style="28" customWidth="1"/>
    <col min="5056" max="5065" width="12.6640625" style="28" customWidth="1"/>
    <col min="5066" max="5309" width="9.109375" style="28"/>
    <col min="5310" max="5310" width="40.6640625" style="28" customWidth="1"/>
    <col min="5311" max="5311" width="10.6640625" style="28" customWidth="1"/>
    <col min="5312" max="5321" width="12.6640625" style="28" customWidth="1"/>
    <col min="5322" max="5565" width="9.109375" style="28"/>
    <col min="5566" max="5566" width="40.6640625" style="28" customWidth="1"/>
    <col min="5567" max="5567" width="10.6640625" style="28" customWidth="1"/>
    <col min="5568" max="5577" width="12.6640625" style="28" customWidth="1"/>
    <col min="5578" max="5821" width="9.109375" style="28"/>
    <col min="5822" max="5822" width="40.6640625" style="28" customWidth="1"/>
    <col min="5823" max="5823" width="10.6640625" style="28" customWidth="1"/>
    <col min="5824" max="5833" width="12.6640625" style="28" customWidth="1"/>
    <col min="5834" max="6077" width="9.109375" style="28"/>
    <col min="6078" max="6078" width="40.6640625" style="28" customWidth="1"/>
    <col min="6079" max="6079" width="10.6640625" style="28" customWidth="1"/>
    <col min="6080" max="6089" width="12.6640625" style="28" customWidth="1"/>
    <col min="6090" max="6333" width="9.109375" style="28"/>
    <col min="6334" max="6334" width="40.6640625" style="28" customWidth="1"/>
    <col min="6335" max="6335" width="10.6640625" style="28" customWidth="1"/>
    <col min="6336" max="6345" width="12.6640625" style="28" customWidth="1"/>
    <col min="6346" max="6589" width="9.109375" style="28"/>
    <col min="6590" max="6590" width="40.6640625" style="28" customWidth="1"/>
    <col min="6591" max="6591" width="10.6640625" style="28" customWidth="1"/>
    <col min="6592" max="6601" width="12.6640625" style="28" customWidth="1"/>
    <col min="6602" max="6845" width="9.109375" style="28"/>
    <col min="6846" max="6846" width="40.6640625" style="28" customWidth="1"/>
    <col min="6847" max="6847" width="10.6640625" style="28" customWidth="1"/>
    <col min="6848" max="6857" width="12.6640625" style="28" customWidth="1"/>
    <col min="6858" max="7101" width="9.109375" style="28"/>
    <col min="7102" max="7102" width="40.6640625" style="28" customWidth="1"/>
    <col min="7103" max="7103" width="10.6640625" style="28" customWidth="1"/>
    <col min="7104" max="7113" width="12.6640625" style="28" customWidth="1"/>
    <col min="7114" max="7357" width="9.109375" style="28"/>
    <col min="7358" max="7358" width="40.6640625" style="28" customWidth="1"/>
    <col min="7359" max="7359" width="10.6640625" style="28" customWidth="1"/>
    <col min="7360" max="7369" width="12.6640625" style="28" customWidth="1"/>
    <col min="7370" max="7613" width="9.109375" style="28"/>
    <col min="7614" max="7614" width="40.6640625" style="28" customWidth="1"/>
    <col min="7615" max="7615" width="10.6640625" style="28" customWidth="1"/>
    <col min="7616" max="7625" width="12.6640625" style="28" customWidth="1"/>
    <col min="7626" max="7869" width="9.109375" style="28"/>
    <col min="7870" max="7870" width="40.6640625" style="28" customWidth="1"/>
    <col min="7871" max="7871" width="10.6640625" style="28" customWidth="1"/>
    <col min="7872" max="7881" width="12.6640625" style="28" customWidth="1"/>
    <col min="7882" max="8125" width="9.109375" style="28"/>
    <col min="8126" max="8126" width="40.6640625" style="28" customWidth="1"/>
    <col min="8127" max="8127" width="10.6640625" style="28" customWidth="1"/>
    <col min="8128" max="8137" width="12.6640625" style="28" customWidth="1"/>
    <col min="8138" max="8381" width="9.109375" style="28"/>
    <col min="8382" max="8382" width="40.6640625" style="28" customWidth="1"/>
    <col min="8383" max="8383" width="10.6640625" style="28" customWidth="1"/>
    <col min="8384" max="8393" width="12.6640625" style="28" customWidth="1"/>
    <col min="8394" max="8637" width="9.109375" style="28"/>
    <col min="8638" max="8638" width="40.6640625" style="28" customWidth="1"/>
    <col min="8639" max="8639" width="10.6640625" style="28" customWidth="1"/>
    <col min="8640" max="8649" width="12.6640625" style="28" customWidth="1"/>
    <col min="8650" max="8893" width="9.109375" style="28"/>
    <col min="8894" max="8894" width="40.6640625" style="28" customWidth="1"/>
    <col min="8895" max="8895" width="10.6640625" style="28" customWidth="1"/>
    <col min="8896" max="8905" width="12.6640625" style="28" customWidth="1"/>
    <col min="8906" max="9149" width="9.109375" style="28"/>
    <col min="9150" max="9150" width="40.6640625" style="28" customWidth="1"/>
    <col min="9151" max="9151" width="10.6640625" style="28" customWidth="1"/>
    <col min="9152" max="9161" width="12.6640625" style="28" customWidth="1"/>
    <col min="9162" max="9405" width="9.109375" style="28"/>
    <col min="9406" max="9406" width="40.6640625" style="28" customWidth="1"/>
    <col min="9407" max="9407" width="10.6640625" style="28" customWidth="1"/>
    <col min="9408" max="9417" width="12.6640625" style="28" customWidth="1"/>
    <col min="9418" max="9661" width="9.109375" style="28"/>
    <col min="9662" max="9662" width="40.6640625" style="28" customWidth="1"/>
    <col min="9663" max="9663" width="10.6640625" style="28" customWidth="1"/>
    <col min="9664" max="9673" width="12.6640625" style="28" customWidth="1"/>
    <col min="9674" max="9917" width="9.109375" style="28"/>
    <col min="9918" max="9918" width="40.6640625" style="28" customWidth="1"/>
    <col min="9919" max="9919" width="10.6640625" style="28" customWidth="1"/>
    <col min="9920" max="9929" width="12.6640625" style="28" customWidth="1"/>
    <col min="9930" max="10173" width="9.109375" style="28"/>
    <col min="10174" max="10174" width="40.6640625" style="28" customWidth="1"/>
    <col min="10175" max="10175" width="10.6640625" style="28" customWidth="1"/>
    <col min="10176" max="10185" width="12.6640625" style="28" customWidth="1"/>
    <col min="10186" max="10429" width="9.109375" style="28"/>
    <col min="10430" max="10430" width="40.6640625" style="28" customWidth="1"/>
    <col min="10431" max="10431" width="10.6640625" style="28" customWidth="1"/>
    <col min="10432" max="10441" width="12.6640625" style="28" customWidth="1"/>
    <col min="10442" max="10685" width="9.109375" style="28"/>
    <col min="10686" max="10686" width="40.6640625" style="28" customWidth="1"/>
    <col min="10687" max="10687" width="10.6640625" style="28" customWidth="1"/>
    <col min="10688" max="10697" width="12.6640625" style="28" customWidth="1"/>
    <col min="10698" max="10941" width="9.109375" style="28"/>
    <col min="10942" max="10942" width="40.6640625" style="28" customWidth="1"/>
    <col min="10943" max="10943" width="10.6640625" style="28" customWidth="1"/>
    <col min="10944" max="10953" width="12.6640625" style="28" customWidth="1"/>
    <col min="10954" max="11197" width="9.109375" style="28"/>
    <col min="11198" max="11198" width="40.6640625" style="28" customWidth="1"/>
    <col min="11199" max="11199" width="10.6640625" style="28" customWidth="1"/>
    <col min="11200" max="11209" width="12.6640625" style="28" customWidth="1"/>
    <col min="11210" max="11453" width="9.109375" style="28"/>
    <col min="11454" max="11454" width="40.6640625" style="28" customWidth="1"/>
    <col min="11455" max="11455" width="10.6640625" style="28" customWidth="1"/>
    <col min="11456" max="11465" width="12.6640625" style="28" customWidth="1"/>
    <col min="11466" max="11709" width="9.109375" style="28"/>
    <col min="11710" max="11710" width="40.6640625" style="28" customWidth="1"/>
    <col min="11711" max="11711" width="10.6640625" style="28" customWidth="1"/>
    <col min="11712" max="11721" width="12.6640625" style="28" customWidth="1"/>
    <col min="11722" max="11965" width="9.109375" style="28"/>
    <col min="11966" max="11966" width="40.6640625" style="28" customWidth="1"/>
    <col min="11967" max="11967" width="10.6640625" style="28" customWidth="1"/>
    <col min="11968" max="11977" width="12.6640625" style="28" customWidth="1"/>
    <col min="11978" max="12221" width="9.109375" style="28"/>
    <col min="12222" max="12222" width="40.6640625" style="28" customWidth="1"/>
    <col min="12223" max="12223" width="10.6640625" style="28" customWidth="1"/>
    <col min="12224" max="12233" width="12.6640625" style="28" customWidth="1"/>
    <col min="12234" max="12477" width="9.109375" style="28"/>
    <col min="12478" max="12478" width="40.6640625" style="28" customWidth="1"/>
    <col min="12479" max="12479" width="10.6640625" style="28" customWidth="1"/>
    <col min="12480" max="12489" width="12.6640625" style="28" customWidth="1"/>
    <col min="12490" max="12733" width="9.109375" style="28"/>
    <col min="12734" max="12734" width="40.6640625" style="28" customWidth="1"/>
    <col min="12735" max="12735" width="10.6640625" style="28" customWidth="1"/>
    <col min="12736" max="12745" width="12.6640625" style="28" customWidth="1"/>
    <col min="12746" max="12989" width="9.109375" style="28"/>
    <col min="12990" max="12990" width="40.6640625" style="28" customWidth="1"/>
    <col min="12991" max="12991" width="10.6640625" style="28" customWidth="1"/>
    <col min="12992" max="13001" width="12.6640625" style="28" customWidth="1"/>
    <col min="13002" max="13245" width="9.109375" style="28"/>
    <col min="13246" max="13246" width="40.6640625" style="28" customWidth="1"/>
    <col min="13247" max="13247" width="10.6640625" style="28" customWidth="1"/>
    <col min="13248" max="13257" width="12.6640625" style="28" customWidth="1"/>
    <col min="13258" max="13501" width="9.109375" style="28"/>
    <col min="13502" max="13502" width="40.6640625" style="28" customWidth="1"/>
    <col min="13503" max="13503" width="10.6640625" style="28" customWidth="1"/>
    <col min="13504" max="13513" width="12.6640625" style="28" customWidth="1"/>
    <col min="13514" max="13757" width="9.109375" style="28"/>
    <col min="13758" max="13758" width="40.6640625" style="28" customWidth="1"/>
    <col min="13759" max="13759" width="10.6640625" style="28" customWidth="1"/>
    <col min="13760" max="13769" width="12.6640625" style="28" customWidth="1"/>
    <col min="13770" max="14013" width="9.109375" style="28"/>
    <col min="14014" max="14014" width="40.6640625" style="28" customWidth="1"/>
    <col min="14015" max="14015" width="10.6640625" style="28" customWidth="1"/>
    <col min="14016" max="14025" width="12.6640625" style="28" customWidth="1"/>
    <col min="14026" max="14269" width="9.109375" style="28"/>
    <col min="14270" max="14270" width="40.6640625" style="28" customWidth="1"/>
    <col min="14271" max="14271" width="10.6640625" style="28" customWidth="1"/>
    <col min="14272" max="14281" width="12.6640625" style="28" customWidth="1"/>
    <col min="14282" max="14525" width="9.109375" style="28"/>
    <col min="14526" max="14526" width="40.6640625" style="28" customWidth="1"/>
    <col min="14527" max="14527" width="10.6640625" style="28" customWidth="1"/>
    <col min="14528" max="14537" width="12.6640625" style="28" customWidth="1"/>
    <col min="14538" max="14781" width="9.109375" style="28"/>
    <col min="14782" max="14782" width="40.6640625" style="28" customWidth="1"/>
    <col min="14783" max="14783" width="10.6640625" style="28" customWidth="1"/>
    <col min="14784" max="14793" width="12.6640625" style="28" customWidth="1"/>
    <col min="14794" max="15037" width="9.109375" style="28"/>
    <col min="15038" max="15038" width="40.6640625" style="28" customWidth="1"/>
    <col min="15039" max="15039" width="10.6640625" style="28" customWidth="1"/>
    <col min="15040" max="15049" width="12.6640625" style="28" customWidth="1"/>
    <col min="15050" max="15293" width="9.109375" style="28"/>
    <col min="15294" max="15294" width="40.6640625" style="28" customWidth="1"/>
    <col min="15295" max="15295" width="10.6640625" style="28" customWidth="1"/>
    <col min="15296" max="15305" width="12.6640625" style="28" customWidth="1"/>
    <col min="15306" max="15549" width="9.109375" style="28"/>
    <col min="15550" max="15550" width="40.6640625" style="28" customWidth="1"/>
    <col min="15551" max="15551" width="10.6640625" style="28" customWidth="1"/>
    <col min="15552" max="15561" width="12.6640625" style="28" customWidth="1"/>
    <col min="15562" max="15805" width="9.109375" style="28"/>
    <col min="15806" max="15806" width="40.6640625" style="28" customWidth="1"/>
    <col min="15807" max="15807" width="10.6640625" style="28" customWidth="1"/>
    <col min="15808" max="15817" width="12.6640625" style="28" customWidth="1"/>
    <col min="15818" max="16061" width="9.109375" style="28"/>
    <col min="16062" max="16062" width="40.6640625" style="28" customWidth="1"/>
    <col min="16063" max="16063" width="10.6640625" style="28" customWidth="1"/>
    <col min="16064" max="16073" width="12.6640625" style="28" customWidth="1"/>
    <col min="16074" max="16384" width="9.109375" style="28"/>
  </cols>
  <sheetData>
    <row r="1" spans="1:34" s="22" customFormat="1" ht="12.75" customHeight="1" x14ac:dyDescent="0.3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5.2" x14ac:dyDescent="0.3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3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7.6" x14ac:dyDescent="0.3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7.6" x14ac:dyDescent="0.3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7.6" x14ac:dyDescent="0.3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7.6" x14ac:dyDescent="0.3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23.25</v>
      </c>
      <c r="O7" s="51">
        <v>10</v>
      </c>
      <c r="P7" s="51">
        <v>8</v>
      </c>
      <c r="Q7" s="51">
        <v>0.5</v>
      </c>
      <c r="R7" s="51">
        <v>4.75</v>
      </c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7.6" x14ac:dyDescent="0.3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7.6" x14ac:dyDescent="0.3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41400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112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7.6" x14ac:dyDescent="0.3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41400</v>
      </c>
      <c r="I10" s="76">
        <v>7</v>
      </c>
      <c r="J10" s="43">
        <v>2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8.2" thickBot="1" x14ac:dyDescent="0.3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2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112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7.6" x14ac:dyDescent="0.3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2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2.25</v>
      </c>
      <c r="O12" s="80"/>
      <c r="P12" s="80"/>
      <c r="Q12" s="80"/>
      <c r="R12" s="80">
        <v>2.25</v>
      </c>
      <c r="S12" s="80" t="s">
        <v>112</v>
      </c>
      <c r="T12" s="80" t="str">
        <f t="shared" ref="T12:V13" si="4">IF(ISNUMBER(S12)," ",IF(S12="X","X"," "))</f>
        <v>X</v>
      </c>
      <c r="U12" s="80" t="str">
        <f t="shared" si="4"/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3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112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7.6" x14ac:dyDescent="0.3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3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3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3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3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3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3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3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3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3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3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3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3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3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3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3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3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3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3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3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3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3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47" si="14">SUM(O33:CG33)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3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3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si="14"/>
        <v>0</v>
      </c>
      <c r="O37" s="51"/>
      <c r="P37" s="51" t="str">
        <f t="shared" ref="P37:R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3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4"/>
        <v>0</v>
      </c>
      <c r="O38" s="51"/>
      <c r="P38" s="51" t="str">
        <f t="shared" ref="P38:R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3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0">IF(ISNUMBER(O39)," ",IF(O39="X","X"," "))</f>
        <v xml:space="preserve"> </v>
      </c>
      <c r="Q39" s="51" t="str">
        <f t="shared" si="20"/>
        <v xml:space="preserve"> </v>
      </c>
      <c r="R39" s="51" t="str">
        <f t="shared" si="20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3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0</v>
      </c>
      <c r="O40" s="51">
        <f>1+0.75</f>
        <v>1.75</v>
      </c>
      <c r="P40" s="51" t="s">
        <v>113</v>
      </c>
      <c r="Q40" s="51" t="str">
        <f t="shared" ref="Q40:R40" si="21">IF(ISNUMBER(P40)," ",IF(P40="X","X"," "))</f>
        <v>X</v>
      </c>
      <c r="R40" s="51" t="str">
        <f t="shared" si="21"/>
        <v>X</v>
      </c>
      <c r="S40" s="51" t="str">
        <f t="shared" ref="S40:V50" si="22">IF(ISNUMBER(R40)," ",IF(R40="X","X"," "))</f>
        <v>X</v>
      </c>
      <c r="T40" s="51" t="str">
        <f t="shared" si="22"/>
        <v>X</v>
      </c>
      <c r="U40" s="51" t="str">
        <f t="shared" si="22"/>
        <v>X</v>
      </c>
      <c r="V40" s="51" t="str">
        <f t="shared" si="22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3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4"/>
        <v>0</v>
      </c>
      <c r="O41" s="51"/>
      <c r="P41" s="51">
        <f>0.25+0.5+0.75+0.25</f>
        <v>1.75</v>
      </c>
      <c r="Q41" s="51" t="s">
        <v>113</v>
      </c>
      <c r="R41" s="51" t="str">
        <f t="shared" ref="R41" si="23">IF(ISNUMBER(Q41)," ",IF(Q41="X","X"," "))</f>
        <v>X</v>
      </c>
      <c r="S41" s="51" t="str">
        <f t="shared" si="22"/>
        <v>X</v>
      </c>
      <c r="T41" s="51" t="str">
        <f t="shared" si="22"/>
        <v>X</v>
      </c>
      <c r="U41" s="51" t="str">
        <f t="shared" si="22"/>
        <v>X</v>
      </c>
      <c r="V41" s="51" t="str">
        <f t="shared" si="22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3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4"/>
        <v>1.75</v>
      </c>
      <c r="O42" s="51"/>
      <c r="P42" s="51" t="str">
        <f t="shared" ref="P42" si="24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2"/>
        <v>X</v>
      </c>
      <c r="T42" s="51" t="str">
        <f t="shared" si="22"/>
        <v>X</v>
      </c>
      <c r="U42" s="51" t="str">
        <f t="shared" si="22"/>
        <v>X</v>
      </c>
      <c r="V42" s="51" t="str">
        <f t="shared" si="22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3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 t="str">
        <f t="shared" si="13"/>
        <v/>
      </c>
      <c r="N43" s="56">
        <f t="shared" si="14"/>
        <v>1.75</v>
      </c>
      <c r="O43" s="51"/>
      <c r="P43" s="51" t="str">
        <f t="shared" ref="P43:Q50" si="25">IF(ISNUMBER(O43)," ",IF(O43="X","X"," "))</f>
        <v xml:space="preserve"> </v>
      </c>
      <c r="Q43" s="51" t="str">
        <f t="shared" si="25"/>
        <v xml:space="preserve"> </v>
      </c>
      <c r="R43" s="51">
        <f>0.25+0.25+0.25</f>
        <v>0.75</v>
      </c>
      <c r="S43" s="51" t="str">
        <f t="shared" si="22"/>
        <v xml:space="preserve"> </v>
      </c>
      <c r="T43" s="51" t="str">
        <f t="shared" si="22"/>
        <v xml:space="preserve"> </v>
      </c>
      <c r="U43" s="51" t="str">
        <f t="shared" si="22"/>
        <v xml:space="preserve"> </v>
      </c>
      <c r="V43" s="51" t="str">
        <f t="shared" si="22"/>
        <v xml:space="preserve"> </v>
      </c>
      <c r="W43" s="51" t="str">
        <f t="shared" ref="W43:W50" si="26">IF(ISNUMBER(V43)," ",IF(V43="X","X"," "))</f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3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2.5</v>
      </c>
      <c r="O44" s="51"/>
      <c r="P44" s="51" t="str">
        <f t="shared" si="25"/>
        <v xml:space="preserve"> </v>
      </c>
      <c r="Q44" s="51" t="str">
        <f t="shared" si="25"/>
        <v xml:space="preserve"> </v>
      </c>
      <c r="R44" s="51" t="str">
        <f t="shared" ref="R44:R50" si="27">IF(ISNUMBER(Q44)," ",IF(Q44="X","X"," "))</f>
        <v xml:space="preserve"> </v>
      </c>
      <c r="S44" s="51" t="str">
        <f t="shared" si="22"/>
        <v xml:space="preserve"> </v>
      </c>
      <c r="T44" s="51" t="str">
        <f t="shared" si="22"/>
        <v xml:space="preserve"> </v>
      </c>
      <c r="U44" s="51" t="str">
        <f t="shared" si="22"/>
        <v xml:space="preserve"> </v>
      </c>
      <c r="V44" s="51" t="str">
        <f t="shared" si="22"/>
        <v xml:space="preserve"> </v>
      </c>
      <c r="W44" s="51" t="str">
        <f t="shared" si="26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3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4"/>
        <v>0.75</v>
      </c>
      <c r="O45" s="51"/>
      <c r="P45" s="51" t="str">
        <f t="shared" si="25"/>
        <v xml:space="preserve"> </v>
      </c>
      <c r="Q45" s="51" t="str">
        <f t="shared" si="25"/>
        <v xml:space="preserve"> </v>
      </c>
      <c r="R45" s="51" t="str">
        <f t="shared" si="27"/>
        <v xml:space="preserve"> </v>
      </c>
      <c r="S45" s="51" t="str">
        <f t="shared" si="22"/>
        <v xml:space="preserve"> </v>
      </c>
      <c r="T45" s="51" t="str">
        <f t="shared" si="22"/>
        <v xml:space="preserve"> </v>
      </c>
      <c r="U45" s="51" t="str">
        <f t="shared" si="22"/>
        <v xml:space="preserve"> </v>
      </c>
      <c r="V45" s="51" t="str">
        <f t="shared" si="22"/>
        <v xml:space="preserve"> </v>
      </c>
      <c r="W45" s="51" t="str">
        <f t="shared" si="26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3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4"/>
        <v>0</v>
      </c>
      <c r="O46" s="51"/>
      <c r="P46" s="51" t="str">
        <f t="shared" si="25"/>
        <v xml:space="preserve"> </v>
      </c>
      <c r="Q46" s="51" t="str">
        <f t="shared" si="25"/>
        <v xml:space="preserve"> </v>
      </c>
      <c r="R46" s="51" t="str">
        <f t="shared" si="27"/>
        <v xml:space="preserve"> </v>
      </c>
      <c r="S46" s="51" t="str">
        <f t="shared" si="22"/>
        <v xml:space="preserve"> </v>
      </c>
      <c r="T46" s="51" t="str">
        <f t="shared" si="22"/>
        <v xml:space="preserve"> </v>
      </c>
      <c r="U46" s="51" t="str">
        <f t="shared" si="22"/>
        <v xml:space="preserve"> </v>
      </c>
      <c r="V46" s="51" t="str">
        <f t="shared" si="22"/>
        <v xml:space="preserve"> </v>
      </c>
      <c r="W46" s="51" t="str">
        <f t="shared" si="26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3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 t="str">
        <f t="array" ref="L47">IF(ISNA(INDEX($O$2:$DA$2,1,MATCH(1,IF($O45:$DM45,1),0))),"",INDEX($O$2:$DA$2,1,MATCH(1,IF($O45:$DM45,1),0)))</f>
        <v/>
      </c>
      <c r="M47" s="55" t="str">
        <f t="shared" si="13"/>
        <v/>
      </c>
      <c r="N47" s="56">
        <f t="shared" si="14"/>
        <v>0</v>
      </c>
      <c r="O47" s="51"/>
      <c r="P47" s="51" t="str">
        <f t="shared" si="25"/>
        <v xml:space="preserve"> </v>
      </c>
      <c r="Q47" s="51" t="str">
        <f t="shared" si="25"/>
        <v xml:space="preserve"> </v>
      </c>
      <c r="R47" s="51" t="str">
        <f t="shared" si="27"/>
        <v xml:space="preserve"> </v>
      </c>
      <c r="S47" s="51" t="str">
        <f t="shared" si="22"/>
        <v xml:space="preserve"> </v>
      </c>
      <c r="T47" s="51" t="str">
        <f t="shared" si="22"/>
        <v xml:space="preserve"> </v>
      </c>
      <c r="U47" s="51" t="str">
        <f t="shared" si="22"/>
        <v xml:space="preserve"> </v>
      </c>
      <c r="V47" s="51" t="str">
        <f t="shared" si="22"/>
        <v xml:space="preserve"> </v>
      </c>
      <c r="W47" s="51" t="str">
        <f t="shared" si="26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3">
      <c r="A48" s="18"/>
      <c r="B48" s="4">
        <v>46</v>
      </c>
      <c r="C48" s="68" t="s">
        <v>127</v>
      </c>
      <c r="D48" s="68" t="s">
        <v>128</v>
      </c>
      <c r="E48" s="68"/>
      <c r="F48" s="17"/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8">IF(ISNA(MATCH("X",O48:W48,0)),"",INDEX($O$2:$X$2,1,MATCH("X",O48:W48,0)-1))</f>
        <v/>
      </c>
      <c r="N48" s="56">
        <f t="shared" ref="N48:N52" si="29">SUM(O48:CG48)</f>
        <v>0</v>
      </c>
      <c r="O48" s="51"/>
      <c r="P48" s="51" t="str">
        <f t="shared" si="25"/>
        <v xml:space="preserve"> </v>
      </c>
      <c r="Q48" s="51" t="str">
        <f t="shared" si="25"/>
        <v xml:space="preserve"> </v>
      </c>
      <c r="R48" s="51" t="str">
        <f t="shared" si="27"/>
        <v xml:space="preserve"> </v>
      </c>
      <c r="S48" s="51" t="str">
        <f t="shared" si="22"/>
        <v xml:space="preserve"> </v>
      </c>
      <c r="T48" s="51" t="str">
        <f t="shared" si="22"/>
        <v xml:space="preserve"> </v>
      </c>
      <c r="U48" s="51" t="str">
        <f t="shared" si="22"/>
        <v xml:space="preserve"> </v>
      </c>
      <c r="V48" s="51" t="str">
        <f t="shared" si="22"/>
        <v xml:space="preserve"> </v>
      </c>
      <c r="W48" s="51" t="str">
        <f t="shared" si="26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3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8"/>
        <v/>
      </c>
      <c r="N49" s="56">
        <f t="shared" si="29"/>
        <v>0</v>
      </c>
      <c r="O49" s="51"/>
      <c r="P49" s="51" t="str">
        <f t="shared" si="25"/>
        <v xml:space="preserve"> </v>
      </c>
      <c r="Q49" s="51" t="str">
        <f t="shared" si="25"/>
        <v xml:space="preserve"> </v>
      </c>
      <c r="R49" s="51" t="str">
        <f t="shared" si="27"/>
        <v xml:space="preserve"> </v>
      </c>
      <c r="S49" s="51" t="str">
        <f t="shared" si="22"/>
        <v xml:space="preserve"> </v>
      </c>
      <c r="T49" s="51" t="str">
        <f t="shared" si="22"/>
        <v xml:space="preserve"> </v>
      </c>
      <c r="U49" s="51" t="str">
        <f t="shared" si="22"/>
        <v xml:space="preserve"> </v>
      </c>
      <c r="V49" s="51" t="str">
        <f t="shared" si="22"/>
        <v xml:space="preserve"> </v>
      </c>
      <c r="W49" s="51" t="str">
        <f t="shared" si="26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3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8"/>
        <v/>
      </c>
      <c r="N50" s="56">
        <f t="shared" si="29"/>
        <v>0</v>
      </c>
      <c r="O50" s="51"/>
      <c r="P50" s="51" t="str">
        <f t="shared" si="25"/>
        <v xml:space="preserve"> </v>
      </c>
      <c r="Q50" s="51" t="str">
        <f t="shared" si="25"/>
        <v xml:space="preserve"> </v>
      </c>
      <c r="R50" s="51" t="str">
        <f t="shared" si="27"/>
        <v xml:space="preserve"> </v>
      </c>
      <c r="S50" s="51" t="str">
        <f t="shared" si="22"/>
        <v xml:space="preserve"> </v>
      </c>
      <c r="T50" s="51" t="str">
        <f t="shared" si="22"/>
        <v xml:space="preserve"> </v>
      </c>
      <c r="U50" s="51" t="str">
        <f t="shared" si="22"/>
        <v xml:space="preserve"> </v>
      </c>
      <c r="V50" s="51" t="str">
        <f t="shared" si="22"/>
        <v xml:space="preserve"> </v>
      </c>
      <c r="W50" s="51" t="str">
        <f t="shared" si="26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3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8"/>
        <v/>
      </c>
      <c r="N51" s="56">
        <f t="shared" si="29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3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8"/>
        <v/>
      </c>
      <c r="N52" s="56">
        <f t="shared" si="29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3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ref="N53:N55" si="39">SUM(O53:CG53)</f>
        <v>0</v>
      </c>
      <c r="O53" s="51"/>
      <c r="P53" s="51" t="str">
        <f t="shared" ref="P53:P55" si="40">IF(ISNUMBER(O53)," ",IF(O53="X","X"," "))</f>
        <v xml:space="preserve"> </v>
      </c>
      <c r="Q53" s="51" t="str">
        <f t="shared" ref="Q53:Q55" si="41">IF(ISNUMBER(P53)," ",IF(P53="X","X"," "))</f>
        <v xml:space="preserve"> </v>
      </c>
      <c r="R53" s="51" t="str">
        <f t="shared" ref="R53:R55" si="42">IF(ISNUMBER(Q53)," ",IF(Q53="X","X"," "))</f>
        <v xml:space="preserve"> </v>
      </c>
      <c r="S53" s="51" t="str">
        <f t="shared" ref="S53:S55" si="43">IF(ISNUMBER(R53)," ",IF(R53="X","X"," "))</f>
        <v xml:space="preserve"> </v>
      </c>
      <c r="T53" s="51" t="str">
        <f t="shared" ref="T53:T55" si="44">IF(ISNUMBER(S53)," ",IF(S53="X","X"," "))</f>
        <v xml:space="preserve"> </v>
      </c>
      <c r="U53" s="51" t="str">
        <f t="shared" ref="U53:U55" si="45">IF(ISNUMBER(T53)," ",IF(T53="X","X"," "))</f>
        <v xml:space="preserve"> </v>
      </c>
      <c r="V53" s="51" t="str">
        <f t="shared" ref="V53:V55" si="46">IF(ISNUMBER(U53)," ",IF(U53="X","X"," "))</f>
        <v xml:space="preserve"> </v>
      </c>
      <c r="W53" s="51" t="str">
        <f t="shared" ref="W53:W55" si="47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3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39"/>
        <v>0</v>
      </c>
      <c r="O54" s="51"/>
      <c r="P54" s="51" t="str">
        <f t="shared" si="40"/>
        <v xml:space="preserve"> </v>
      </c>
      <c r="Q54" s="51" t="str">
        <f t="shared" si="41"/>
        <v xml:space="preserve"> </v>
      </c>
      <c r="R54" s="51" t="str">
        <f t="shared" si="42"/>
        <v xml:space="preserve"> </v>
      </c>
      <c r="S54" s="51" t="str">
        <f t="shared" si="43"/>
        <v xml:space="preserve"> </v>
      </c>
      <c r="T54" s="51" t="str">
        <f t="shared" si="44"/>
        <v xml:space="preserve"> </v>
      </c>
      <c r="U54" s="51" t="str">
        <f t="shared" si="45"/>
        <v xml:space="preserve"> </v>
      </c>
      <c r="V54" s="51" t="str">
        <f t="shared" si="46"/>
        <v xml:space="preserve"> </v>
      </c>
      <c r="W54" s="51" t="str">
        <f t="shared" si="47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3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39"/>
        <v>0</v>
      </c>
      <c r="O55" s="51"/>
      <c r="P55" s="51" t="str">
        <f t="shared" si="40"/>
        <v xml:space="preserve"> </v>
      </c>
      <c r="Q55" s="51" t="str">
        <f t="shared" si="41"/>
        <v xml:space="preserve"> </v>
      </c>
      <c r="R55" s="51" t="str">
        <f t="shared" si="42"/>
        <v xml:space="preserve"> </v>
      </c>
      <c r="S55" s="51" t="str">
        <f t="shared" si="43"/>
        <v xml:space="preserve"> </v>
      </c>
      <c r="T55" s="51" t="str">
        <f t="shared" si="44"/>
        <v xml:space="preserve"> </v>
      </c>
      <c r="U55" s="51" t="str">
        <f t="shared" si="45"/>
        <v xml:space="preserve"> </v>
      </c>
      <c r="V55" s="51" t="str">
        <f t="shared" si="46"/>
        <v xml:space="preserve"> </v>
      </c>
      <c r="W55" s="51" t="str">
        <f t="shared" si="47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3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ref="N56:N59" si="48">SUM(O56:CG56)</f>
        <v>0</v>
      </c>
      <c r="O56" s="51"/>
      <c r="P56" s="51" t="str">
        <f t="shared" ref="P56:P59" si="49">IF(ISNUMBER(O56)," ",IF(O56="X","X"," "))</f>
        <v xml:space="preserve"> </v>
      </c>
      <c r="Q56" s="51" t="str">
        <f t="shared" ref="Q56:Q59" si="50">IF(ISNUMBER(P56)," ",IF(P56="X","X"," "))</f>
        <v xml:space="preserve"> </v>
      </c>
      <c r="R56" s="51" t="str">
        <f t="shared" ref="R56:R59" si="51">IF(ISNUMBER(Q56)," ",IF(Q56="X","X"," "))</f>
        <v xml:space="preserve"> </v>
      </c>
      <c r="S56" s="51" t="str">
        <f t="shared" ref="S56:S59" si="52">IF(ISNUMBER(R56)," ",IF(R56="X","X"," "))</f>
        <v xml:space="preserve"> </v>
      </c>
      <c r="T56" s="51" t="str">
        <f t="shared" ref="T56:T59" si="53">IF(ISNUMBER(S56)," ",IF(S56="X","X"," "))</f>
        <v xml:space="preserve"> </v>
      </c>
      <c r="U56" s="51" t="str">
        <f t="shared" ref="U56:U59" si="54">IF(ISNUMBER(T56)," ",IF(T56="X","X"," "))</f>
        <v xml:space="preserve"> </v>
      </c>
      <c r="V56" s="51" t="str">
        <f t="shared" ref="V56:V59" si="55">IF(ISNUMBER(U56)," ",IF(U56="X","X"," "))</f>
        <v xml:space="preserve"> </v>
      </c>
      <c r="W56" s="51" t="str">
        <f t="shared" ref="W56:W59" si="56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3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48"/>
        <v>0</v>
      </c>
      <c r="O57" s="51"/>
      <c r="P57" s="51" t="str">
        <f t="shared" si="49"/>
        <v xml:space="preserve"> </v>
      </c>
      <c r="Q57" s="51" t="str">
        <f t="shared" si="50"/>
        <v xml:space="preserve"> </v>
      </c>
      <c r="R57" s="51" t="str">
        <f t="shared" si="51"/>
        <v xml:space="preserve"> </v>
      </c>
      <c r="S57" s="51" t="str">
        <f t="shared" si="52"/>
        <v xml:space="preserve"> </v>
      </c>
      <c r="T57" s="51" t="str">
        <f t="shared" si="53"/>
        <v xml:space="preserve"> </v>
      </c>
      <c r="U57" s="51" t="str">
        <f t="shared" si="54"/>
        <v xml:space="preserve"> </v>
      </c>
      <c r="V57" s="51" t="str">
        <f t="shared" si="55"/>
        <v xml:space="preserve"> </v>
      </c>
      <c r="W57" s="51" t="str">
        <f t="shared" si="56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3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48"/>
        <v>0</v>
      </c>
      <c r="O58" s="51"/>
      <c r="P58" s="51" t="str">
        <f t="shared" si="49"/>
        <v xml:space="preserve"> </v>
      </c>
      <c r="Q58" s="51" t="str">
        <f t="shared" si="50"/>
        <v xml:space="preserve"> </v>
      </c>
      <c r="R58" s="51" t="str">
        <f t="shared" si="51"/>
        <v xml:space="preserve"> </v>
      </c>
      <c r="S58" s="51" t="str">
        <f t="shared" si="52"/>
        <v xml:space="preserve"> </v>
      </c>
      <c r="T58" s="51" t="str">
        <f t="shared" si="53"/>
        <v xml:space="preserve"> </v>
      </c>
      <c r="U58" s="51" t="str">
        <f t="shared" si="54"/>
        <v xml:space="preserve"> </v>
      </c>
      <c r="V58" s="51" t="str">
        <f t="shared" si="55"/>
        <v xml:space="preserve"> </v>
      </c>
      <c r="W58" s="51" t="str">
        <f t="shared" si="56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3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48"/>
        <v>0</v>
      </c>
      <c r="O59" s="51"/>
      <c r="P59" s="51" t="str">
        <f t="shared" si="49"/>
        <v xml:space="preserve"> </v>
      </c>
      <c r="Q59" s="51" t="str">
        <f t="shared" si="50"/>
        <v xml:space="preserve"> </v>
      </c>
      <c r="R59" s="51" t="str">
        <f t="shared" si="51"/>
        <v xml:space="preserve"> </v>
      </c>
      <c r="S59" s="51" t="str">
        <f t="shared" si="52"/>
        <v xml:space="preserve"> </v>
      </c>
      <c r="T59" s="51" t="str">
        <f t="shared" si="53"/>
        <v xml:space="preserve"> </v>
      </c>
      <c r="U59" s="51" t="str">
        <f t="shared" si="54"/>
        <v xml:space="preserve"> </v>
      </c>
      <c r="V59" s="51" t="str">
        <f t="shared" si="55"/>
        <v xml:space="preserve"> </v>
      </c>
      <c r="W59" s="51" t="str">
        <f t="shared" si="56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3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 t="shared" ref="O60:W60" si="57">SUM(O3:O41)</f>
        <v>33.5</v>
      </c>
      <c r="P60" s="56">
        <f t="shared" si="57"/>
        <v>18.25</v>
      </c>
      <c r="Q60" s="56">
        <f t="shared" si="57"/>
        <v>22</v>
      </c>
      <c r="R60" s="56">
        <f t="shared" si="57"/>
        <v>21.25</v>
      </c>
      <c r="S60" s="56">
        <f t="shared" si="57"/>
        <v>0</v>
      </c>
      <c r="T60" s="56">
        <f t="shared" si="57"/>
        <v>0</v>
      </c>
      <c r="U60" s="56">
        <f t="shared" si="57"/>
        <v>0</v>
      </c>
      <c r="V60" s="56">
        <f t="shared" si="57"/>
        <v>0</v>
      </c>
      <c r="W60" s="56">
        <f t="shared" si="57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3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30.40625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4.4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8">IF(OR(ISBLANK(O2),O2=$X$2),"",O2)</f>
        <v>41372</v>
      </c>
      <c r="O62" s="27">
        <f t="shared" si="58"/>
        <v>41379</v>
      </c>
      <c r="P62" s="27">
        <f t="shared" si="58"/>
        <v>41386</v>
      </c>
      <c r="Q62" s="27">
        <f t="shared" si="58"/>
        <v>41393</v>
      </c>
      <c r="R62" s="27">
        <f t="shared" si="58"/>
        <v>41407</v>
      </c>
      <c r="S62" s="27">
        <f t="shared" si="58"/>
        <v>41414</v>
      </c>
      <c r="T62" s="27">
        <f t="shared" si="58"/>
        <v>41421</v>
      </c>
      <c r="U62" s="27">
        <f t="shared" si="58"/>
        <v>41428</v>
      </c>
      <c r="V62" s="27">
        <f t="shared" si="58"/>
        <v>41435</v>
      </c>
      <c r="W62" s="27" t="str">
        <f t="shared" si="58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3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MAX(H3:H40)-MIN(G3:G40)</f>
        <v>56</v>
      </c>
      <c r="K63" s="30">
        <f>SUM(K3:K41)</f>
        <v>243.25</v>
      </c>
      <c r="L63" s="31"/>
      <c r="M63" s="32"/>
      <c r="N63" s="67">
        <v>296</v>
      </c>
      <c r="O63" s="50">
        <f t="shared" ref="O63:R63" si="59">IF(O62="","",N63)</f>
        <v>296</v>
      </c>
      <c r="P63" s="50">
        <f t="shared" si="59"/>
        <v>296</v>
      </c>
      <c r="Q63" s="50">
        <f t="shared" si="59"/>
        <v>296</v>
      </c>
      <c r="R63" s="50">
        <f t="shared" si="59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7.6" x14ac:dyDescent="0.3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>IF(N62="","",M64+IF(ISNA(VLOOKUP(O2,$H$2:$H$41,2,FALSE)),0,SUM(IF($H$2:$K$41=O2,$K$2:$K$41))))</f>
        <v>0</v>
      </c>
      <c r="O64" s="34">
        <f t="array" ref="O64">IF(O62="","",N64+IF(ISNA(VLOOKUP(P2,$H$2:$H$41,2,FALSE)),0,SUM(IF($H$2:$K$41=P2,$K$2:$K$41))))</f>
        <v>31</v>
      </c>
      <c r="P64" s="34">
        <f t="array" ref="P64">IF(P62="","",O64+IF(ISNA(VLOOKUP(Q2,$H$2:$H$41,2,FALSE)),0,SUM(IF($H$2:$K$41=Q2,$K$2:$K$41))))</f>
        <v>41.25</v>
      </c>
      <c r="Q64" s="34">
        <f t="array" ref="Q64">IF(Q62="","",P64+IF(ISNA(VLOOKUP(R2,$H$2:$H$41,2,FALSE)),0,SUM(IF($H$2:$K$41=R2,$K$2:$K$41))))</f>
        <v>87.25</v>
      </c>
      <c r="R64" s="34">
        <f t="array" ref="R64">IF(R62="","",Q64+IF(ISNA(VLOOKUP(S2,$H$2:$H$41,2,FALSE)),0,SUM(IF($H$2:$K$41=S2,$K$2:$K$41))))</f>
        <v>113.25</v>
      </c>
      <c r="S64" s="34">
        <f t="array" ref="S64">IF(S62="","",R64+IF(ISNA(VLOOKUP(T2,$H$2:$H$41,2,FALSE)),0,SUM(IF($H$2:$K$41=T2,$K$2:$K$41))))</f>
        <v>139.25</v>
      </c>
      <c r="T64" s="34">
        <f t="array" ref="T64">IF(T62="","",S64+IF(ISNA(VLOOKUP(U2,$H$2:$H$41,2,FALSE)),0,SUM(IF($H$2:$K$41=U2,$K$2:$K$41))))</f>
        <v>167.25</v>
      </c>
      <c r="U64" s="34">
        <f t="array" ref="U64">IF(U62="","",T64+IF(ISNA(VLOOKUP(V2,$H$2:$H$41,2,FALSE)),0,SUM(IF($H$2:$K$41=V2,$K$2:$K$41))))</f>
        <v>215.25</v>
      </c>
      <c r="V64" s="34">
        <f t="array" ref="V64">IF(V62="","",U64+IF(ISNA(VLOOKUP(W2,$H$2:$H$41,2,FALSE)),0,SUM(IF($H$2:$K$41=W2,$K$2:$K$41))))</f>
        <v>215.25</v>
      </c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7.6" x14ac:dyDescent="0.3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SUMIFS($K$3:$K$41,P3:P41,"=X")</f>
        <v>18</v>
      </c>
      <c r="P65" s="6">
        <f>SUMIFS($K$3:$K$41,Q3:Q41,"=X")</f>
        <v>41.25</v>
      </c>
      <c r="Q65" s="6">
        <f>SUMIFS($K$3:$K$41,R3:R41,"=X")</f>
        <v>61.25</v>
      </c>
      <c r="R65" s="6">
        <f>SUMIFS($K$3:$K$41,S3:S41,"=X")</f>
        <v>120.25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7.6" x14ac:dyDescent="0.3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SUM(O3:O41)+N66</f>
        <v>33.5</v>
      </c>
      <c r="P66" s="6">
        <f>SUM(P3:P41)+O66</f>
        <v>51.75</v>
      </c>
      <c r="Q66" s="6">
        <f>SUM(Q3:Q41)+P66</f>
        <v>73.75</v>
      </c>
      <c r="R66" s="6">
        <f>SUM(R3:R41)+Q66</f>
        <v>95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3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3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4.4" x14ac:dyDescent="0.3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3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95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3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3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3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3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3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3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254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3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3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349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3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3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3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3" priority="146" operator="greaterThan">
      <formula>#REF!</formula>
    </cfRule>
    <cfRule type="cellIs" dxfId="32" priority="147" operator="lessThan">
      <formula>#REF!</formula>
    </cfRule>
  </conditionalFormatting>
  <conditionalFormatting sqref="L56:M59 L3:M47">
    <cfRule type="cellIs" dxfId="31" priority="153" operator="greaterThan">
      <formula>G3</formula>
    </cfRule>
    <cfRule type="cellIs" dxfId="30" priority="154" operator="lessThan">
      <formula>G3</formula>
    </cfRule>
  </conditionalFormatting>
  <conditionalFormatting sqref="N56:N59 N3:N47">
    <cfRule type="cellIs" priority="157" stopIfTrue="1" operator="equal">
      <formula>0</formula>
    </cfRule>
    <cfRule type="cellIs" dxfId="29" priority="158" operator="lessThan">
      <formula>K3</formula>
    </cfRule>
    <cfRule type="cellIs" dxfId="28" priority="159" operator="greaterThan">
      <formula>K3</formula>
    </cfRule>
  </conditionalFormatting>
  <conditionalFormatting sqref="O65:W65">
    <cfRule type="cellIs" dxfId="27" priority="51" operator="greaterThan">
      <formula>0</formula>
    </cfRule>
  </conditionalFormatting>
  <conditionalFormatting sqref="O66:W66">
    <cfRule type="cellIs" dxfId="26" priority="50" operator="greaterThan">
      <formula>0</formula>
    </cfRule>
  </conditionalFormatting>
  <conditionalFormatting sqref="G56:H59 G51:H52 G49:H49 G3:H47">
    <cfRule type="expression" dxfId="25" priority="40">
      <formula>FormulaInCell</formula>
    </cfRule>
  </conditionalFormatting>
  <conditionalFormatting sqref="O3:W59">
    <cfRule type="cellIs" dxfId="24" priority="47" operator="equal">
      <formula>"X"</formula>
    </cfRule>
    <cfRule type="cellIs" dxfId="23" priority="48" operator="greaterThan">
      <formula>0</formula>
    </cfRule>
    <cfRule type="expression" dxfId="22" priority="49">
      <formula>AND(O$2&gt;=$G3,O$2&lt;$H3,ISNUMBER(O3))</formula>
    </cfRule>
    <cfRule type="expression" dxfId="21" priority="52">
      <formula>AND(O$2&gt;=$G3,O$2&lt;$H3)</formula>
    </cfRule>
    <cfRule type="expression" dxfId="20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9" priority="31" operator="lessThan">
      <formula>$K$61</formula>
    </cfRule>
    <cfRule type="cellIs" dxfId="18" priority="32" operator="greaterThan">
      <formula>$K$61</formula>
    </cfRule>
  </conditionalFormatting>
  <conditionalFormatting sqref="O63:W63">
    <cfRule type="expression" dxfId="17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6" priority="23" operator="greaterThan">
      <formula>#REF!</formula>
    </cfRule>
    <cfRule type="cellIs" dxfId="15" priority="24" operator="lessThan">
      <formula>#REF!</formula>
    </cfRule>
  </conditionalFormatting>
  <conditionalFormatting sqref="L53:M55">
    <cfRule type="cellIs" dxfId="14" priority="25" operator="greaterThan">
      <formula>G53</formula>
    </cfRule>
    <cfRule type="cellIs" dxfId="13" priority="26" operator="lessThan">
      <formula>G53</formula>
    </cfRule>
  </conditionalFormatting>
  <conditionalFormatting sqref="N48:N49 N53:N55">
    <cfRule type="cellIs" priority="27" stopIfTrue="1" operator="equal">
      <formula>0</formula>
    </cfRule>
    <cfRule type="cellIs" dxfId="12" priority="28" operator="lessThan">
      <formula>K48</formula>
    </cfRule>
    <cfRule type="cellIs" dxfId="11" priority="29" operator="greaterThan">
      <formula>K48</formula>
    </cfRule>
  </conditionalFormatting>
  <conditionalFormatting sqref="G48:H48 G53:H55">
    <cfRule type="expression" dxfId="10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9" priority="9" operator="greaterThan">
      <formula>#REF!</formula>
    </cfRule>
    <cfRule type="cellIs" dxfId="8" priority="10" operator="lessThan">
      <formula>#REF!</formula>
    </cfRule>
  </conditionalFormatting>
  <conditionalFormatting sqref="N50:N52">
    <cfRule type="cellIs" priority="13" stopIfTrue="1" operator="equal">
      <formula>0</formula>
    </cfRule>
    <cfRule type="cellIs" dxfId="7" priority="14" operator="lessThan">
      <formula>K50</formula>
    </cfRule>
    <cfRule type="cellIs" dxfId="6" priority="15" operator="greaterThan">
      <formula>K50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4.4" x14ac:dyDescent="0.3"/>
  <cols>
    <col min="1" max="8" width="10" customWidth="1"/>
  </cols>
  <sheetData>
    <row r="1" spans="1:19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João Martins</cp:lastModifiedBy>
  <dcterms:created xsi:type="dcterms:W3CDTF">2009-04-24T00:02:24Z</dcterms:created>
  <dcterms:modified xsi:type="dcterms:W3CDTF">2013-05-11T14:36:59Z</dcterms:modified>
</cp:coreProperties>
</file>