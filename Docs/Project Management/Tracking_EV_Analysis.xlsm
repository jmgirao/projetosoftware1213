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Rui\Desktop\Repositorios\ProjectoSW\Docs\Project Management\"/>
    </mc:Choice>
  </mc:AlternateContent>
  <bookViews>
    <workbookView xWindow="0" yWindow="0" windowWidth="15345" windowHeight="4635" activeTab="2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33" i="2" l="1"/>
  <c r="U39" i="2"/>
  <c r="U50" i="2"/>
  <c r="U26" i="2"/>
  <c r="U21" i="2"/>
  <c r="U16" i="2"/>
  <c r="V15" i="2"/>
  <c r="U38" i="2"/>
  <c r="U7" i="2"/>
  <c r="U47" i="2"/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N33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V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V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17" i="2"/>
  <c r="M18" i="2"/>
  <c r="M21" i="2"/>
  <c r="M22" i="2"/>
  <c r="M23" i="2"/>
  <c r="M24" i="2"/>
  <c r="M26" i="2"/>
  <c r="M27" i="2"/>
  <c r="M28" i="2"/>
  <c r="M29" i="2"/>
  <c r="M30" i="2"/>
  <c r="L26" i="2" a="1"/>
  <c r="L26" i="2" s="1"/>
  <c r="L27" i="2" a="1"/>
  <c r="L27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W15" i="2"/>
  <c r="W16" i="2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V39" i="2" s="1"/>
  <c r="W39" i="2" s="1"/>
  <c r="M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W32" i="2" s="1"/>
  <c r="M16" i="2"/>
  <c r="Q15" i="2"/>
  <c r="Q38" i="2"/>
  <c r="R38" i="2" s="1"/>
  <c r="S38" i="2" s="1"/>
  <c r="T38" i="2" s="1"/>
  <c r="V38" i="2" s="1"/>
  <c r="W38" i="2" s="1"/>
  <c r="V31" i="2"/>
  <c r="W31" i="2" s="1"/>
  <c r="Q37" i="2"/>
  <c r="R37" i="2" s="1"/>
  <c r="S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N54" i="2" l="1"/>
  <c r="N36" i="2"/>
  <c r="N38" i="2"/>
  <c r="N37" i="2"/>
  <c r="M54" i="2"/>
  <c r="N39" i="2"/>
  <c r="N35" i="2"/>
  <c r="M15" i="2"/>
  <c r="L54" i="2" a="1"/>
  <c r="L54" i="2" s="1"/>
  <c r="V12" i="2"/>
  <c r="L38" i="2" a="1"/>
  <c r="L38" i="2" s="1"/>
  <c r="U56" i="2"/>
  <c r="M32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M40" i="2" l="1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M25" i="2" s="1"/>
  <c r="S69" i="2"/>
  <c r="L33" i="2" l="1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R64" i="2" a="1"/>
  <c r="R64" i="2" s="1"/>
  <c r="S62" i="2"/>
  <c r="S63" i="2" s="1"/>
  <c r="T69" i="2"/>
  <c r="U2" i="2"/>
  <c r="M7" i="2" s="1"/>
  <c r="L30" i="2" l="1" a="1"/>
  <c r="L30" i="2" s="1"/>
  <c r="M33" i="2"/>
  <c r="M34" i="2"/>
  <c r="L50" i="2" a="1"/>
  <c r="L50" i="2" s="1"/>
  <c r="M37" i="2"/>
  <c r="L40" i="2" a="1"/>
  <c r="L40" i="2" s="1"/>
  <c r="L41" i="2" a="1"/>
  <c r="L41" i="2" s="1"/>
  <c r="S64" i="2" a="1"/>
  <c r="S64" i="2" s="1"/>
  <c r="T62" i="2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<sst xmlns="http://schemas.openxmlformats.org/spreadsheetml/2006/main" count="280" uniqueCount="132">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</sst>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  <xf numFmtId="0" fontId="5" fillId="2" borderId="1" xfId="1" quotePrefix="1" applyFont="1" applyFill="1" applyBorder="1" applyAlignment="1" applyProtection="1">
      <alignment horizontal="center"/>
      <protection locked="0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11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177.25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5537856"/>
        <c:axId val="1035538400"/>
      </c:lineChart>
      <c:catAx>
        <c:axId val="1035537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35538400"/>
        <c:crosses val="autoZero"/>
        <c:auto val="0"/>
        <c:lblAlgn val="ctr"/>
        <c:lblOffset val="100"/>
        <c:noMultiLvlLbl val="0"/>
      </c:catAx>
      <c:valAx>
        <c:axId val="10355384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35537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zoomScaleNormal="100" workbookViewId="0">
      <pane xSplit="6" ySplit="2" topLeftCell="I63" activePane="bottomRight" state="frozen"/>
      <selection pane="topRight" activeCell="F1" sqref="F1"/>
      <selection pane="bottomLeft" activeCell="A3" sqref="A3"/>
      <selection pane="bottomRight" activeCell="O74" sqref="O74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41421</v>
      </c>
      <c r="N7" s="56">
        <f t="shared" si="3"/>
        <v>46.75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f>0.5+2</f>
        <v>2.5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>
        <f t="shared" si="1"/>
        <v>41414</v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">
        <v>113</v>
      </c>
      <c r="V15" s="51" t="str">
        <f t="shared" si="5"/>
        <v>X</v>
      </c>
      <c r="W15" s="51" t="str">
        <f t="shared" si="5"/>
        <v>X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>
        <f t="shared" si="1"/>
        <v>41421</v>
      </c>
      <c r="N16" s="56">
        <f t="shared" si="3"/>
        <v>1.75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>
        <v>0</v>
      </c>
      <c r="U16" s="51">
        <f>0.25+0.5</f>
        <v>0.75</v>
      </c>
      <c r="V16" s="51" t="s">
        <v>113</v>
      </c>
      <c r="W16" s="51" t="str">
        <f t="shared" si="5"/>
        <v>X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>
        <f t="shared" si="1"/>
        <v>41421</v>
      </c>
      <c r="N17" s="56">
        <f t="shared" si="3"/>
        <v>0.75</v>
      </c>
      <c r="O17" s="51"/>
      <c r="P17" s="51"/>
      <c r="Q17" s="51"/>
      <c r="R17" s="51"/>
      <c r="S17" s="51">
        <v>0.25</v>
      </c>
      <c r="T17" s="103">
        <v>0</v>
      </c>
      <c r="U17" s="51">
        <v>0.5</v>
      </c>
      <c r="V17" s="51" t="s">
        <v>112</v>
      </c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>
        <f t="shared" si="1"/>
        <v>41414</v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 t="s">
        <v>112</v>
      </c>
      <c r="V18" s="51" t="s">
        <v>112</v>
      </c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2.25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>
        <f>0.5</f>
        <v>0.5</v>
      </c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6.5</v>
      </c>
      <c r="O22" s="51"/>
      <c r="P22" s="51"/>
      <c r="Q22" s="51"/>
      <c r="R22" s="51"/>
      <c r="S22" s="51">
        <v>2</v>
      </c>
      <c r="T22" s="51">
        <v>4</v>
      </c>
      <c r="U22" s="51">
        <v>0.5</v>
      </c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41421</v>
      </c>
      <c r="N25" s="56">
        <f t="shared" si="3"/>
        <v>1</v>
      </c>
      <c r="O25" s="51"/>
      <c r="P25" s="51"/>
      <c r="Q25" s="51"/>
      <c r="R25" s="51"/>
      <c r="S25" s="51">
        <v>0.45</v>
      </c>
      <c r="T25" s="51">
        <v>0.3</v>
      </c>
      <c r="U25" s="51">
        <v>0.25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>
        <f t="array" ref="L26">IF(ISNA(INDEX($O$2:$DA$2,1,MATCH(1,IF($O26:$DM26,1),0))),"",INDEX($O$2:$DA$2,1,MATCH(1,IF($O26:$DM26,1),0)))</f>
        <v>41421</v>
      </c>
      <c r="M26" s="55">
        <f t="shared" si="1"/>
        <v>41421</v>
      </c>
      <c r="N26" s="56">
        <f t="shared" si="3"/>
        <v>0.75</v>
      </c>
      <c r="O26" s="51"/>
      <c r="P26" s="51"/>
      <c r="Q26" s="51"/>
      <c r="R26" s="51"/>
      <c r="S26" s="51"/>
      <c r="T26" s="51"/>
      <c r="U26" s="51">
        <f>0.75</f>
        <v>0.75</v>
      </c>
      <c r="V26" s="51" t="s">
        <v>112</v>
      </c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>
        <f t="array" ref="L27">IF(ISNA(INDEX($O$2:$DA$2,1,MATCH(1,IF($O27:$DM27,1),0))),"",INDEX($O$2:$DA$2,1,MATCH(1,IF($O27:$DM27,1),0)))</f>
        <v>41421</v>
      </c>
      <c r="M27" s="55">
        <f t="shared" si="1"/>
        <v>41421</v>
      </c>
      <c r="N27" s="56">
        <f t="shared" si="3"/>
        <v>0.25</v>
      </c>
      <c r="O27" s="51"/>
      <c r="P27" s="51"/>
      <c r="Q27" s="51"/>
      <c r="R27" s="51"/>
      <c r="S27" s="51"/>
      <c r="T27" s="51"/>
      <c r="U27" s="51">
        <v>0.25</v>
      </c>
      <c r="V27" s="51" t="s">
        <v>112</v>
      </c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 t="str">
        <f t="shared" si="1"/>
        <v/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>
        <f t="shared" si="1"/>
        <v>41421</v>
      </c>
      <c r="N32" s="56">
        <f t="shared" si="3"/>
        <v>1.25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>
        <v>0.5</v>
      </c>
      <c r="V32" s="51" t="s">
        <v>112</v>
      </c>
      <c r="W32" s="51" t="str">
        <f t="shared" si="9"/>
        <v>X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3.25</v>
      </c>
      <c r="O33" s="51"/>
      <c r="P33" s="51"/>
      <c r="Q33" s="51"/>
      <c r="R33" s="51"/>
      <c r="S33" s="51"/>
      <c r="T33" s="51">
        <v>1.5</v>
      </c>
      <c r="U33" s="51">
        <f>0.75 + 1</f>
        <v>1.75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1.65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>
        <f>1.15+0.5</f>
        <v>1.65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1.75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>
        <f>0.75+1</f>
        <v>1.75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>
        <f t="array" ref="L40">IF(ISNA(INDEX($O$2:$DA$2,1,MATCH(1,IF($O38:$DM38,1),0))),"",INDEX($O$2:$DA$2,1,MATCH(1,IF($O38:$DM38,1),0)))</f>
        <v>41421</v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>
        <f t="array" ref="L41">IF(ISNA(INDEX($O$2:$DA$2,1,MATCH(1,IF($O39:$DM39,1),0))),"",INDEX($O$2:$DA$2,1,MATCH(1,IF($O39:$DM39,1),0)))</f>
        <v>41421</v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0.5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>
        <f>0.25+0.25</f>
        <v>0.5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>
        <f t="array" ref="L50">IF(ISNA(INDEX($O$2:$DA$2,1,MATCH(1,IF($O50:$DM50,1),0))),"",INDEX($O$2:$DA$2,1,MATCH(1,IF($O50:$DM50,1),0)))</f>
        <v>41421</v>
      </c>
      <c r="M50" s="55" t="str">
        <f t="shared" si="29"/>
        <v/>
      </c>
      <c r="N50" s="56">
        <f t="shared" si="18"/>
        <v>0.65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>
        <f>0.15+0.5</f>
        <v>0.65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17.549999999999997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9.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177.25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9.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208.8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828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tabSelected="1" zoomScaleNormal="100" workbookViewId="0">
      <selection activeCell="H20" sqref="H20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Rui Ganhoto</cp:lastModifiedBy>
  <dcterms:created xsi:type="dcterms:W3CDTF">2009-04-24T00:02:24Z</dcterms:created>
  <dcterms:modified xsi:type="dcterms:W3CDTF">2013-06-02T08:26:29Z</dcterms:modified>
</cp:coreProperties>
</file>