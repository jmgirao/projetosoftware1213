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L7" i="2" l="1" a="1"/>
  <c r="L7" i="2" s="1"/>
  <c r="N3" i="2" l="1"/>
  <c r="O51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L38" i="2" a="1"/>
  <c r="L38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R3" i="2" s="1"/>
  <c r="S3" i="2" s="1"/>
  <c r="L4" i="2" a="1"/>
  <c r="L4" i="2" s="1"/>
  <c r="N4" i="2"/>
  <c r="N5" i="2"/>
  <c r="N6" i="2"/>
  <c r="N8" i="2"/>
  <c r="N9" i="2"/>
  <c r="N10" i="2"/>
  <c r="N11" i="2"/>
  <c r="L5" i="2" a="1"/>
  <c r="L5" i="2" s="1"/>
  <c r="L6" i="2" a="1"/>
  <c r="L6" i="2" s="1"/>
  <c r="L8" i="2" a="1"/>
  <c r="L8" i="2" s="1"/>
  <c r="L9" i="2" a="1"/>
  <c r="L9" i="2" s="1"/>
  <c r="L10" i="2" a="1"/>
  <c r="L10" i="2" s="1"/>
  <c r="L11" i="2" a="1"/>
  <c r="L11" i="2" s="1"/>
  <c r="O46" i="2" l="1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Q15" i="2" s="1"/>
  <c r="P16" i="2"/>
  <c r="P31" i="2"/>
  <c r="S31" i="2" s="1"/>
  <c r="T31" i="2" s="1"/>
  <c r="U31" i="2" s="1"/>
  <c r="V31" i="2" s="1"/>
  <c r="W31" i="2" s="1"/>
  <c r="P32" i="2"/>
  <c r="Q32" i="2" s="1"/>
  <c r="R32" i="2" s="1"/>
  <c r="S32" i="2" s="1"/>
  <c r="T32" i="2" s="1"/>
  <c r="U32" i="2" s="1"/>
  <c r="V32" i="2" s="1"/>
  <c r="W32" i="2" s="1"/>
  <c r="P33" i="2"/>
  <c r="Q33" i="2" s="1"/>
  <c r="R33" i="2" s="1"/>
  <c r="S33" i="2" s="1"/>
  <c r="T33" i="2" s="1"/>
  <c r="U33" i="2" s="1"/>
  <c r="V33" i="2" s="1"/>
  <c r="W33" i="2" s="1"/>
  <c r="P34" i="2"/>
  <c r="Q34" i="2" s="1"/>
  <c r="R34" i="2" s="1"/>
  <c r="S34" i="2" s="1"/>
  <c r="T34" i="2" s="1"/>
  <c r="U34" i="2" s="1"/>
  <c r="V34" i="2" s="1"/>
  <c r="W34" i="2" s="1"/>
  <c r="P35" i="2"/>
  <c r="Q35" i="2" s="1"/>
  <c r="R35" i="2" s="1"/>
  <c r="S35" i="2" s="1"/>
  <c r="T35" i="2" s="1"/>
  <c r="U35" i="2" s="1"/>
  <c r="V35" i="2" s="1"/>
  <c r="W35" i="2" s="1"/>
  <c r="P36" i="2"/>
  <c r="Q36" i="2" s="1"/>
  <c r="R36" i="2" s="1"/>
  <c r="S36" i="2" s="1"/>
  <c r="T36" i="2" s="1"/>
  <c r="U36" i="2" s="1"/>
  <c r="V36" i="2" s="1"/>
  <c r="W36" i="2" s="1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N42" i="2" l="1"/>
  <c r="T14" i="2"/>
  <c r="T3" i="2"/>
  <c r="W12" i="2"/>
  <c r="W37" i="2"/>
  <c r="W13" i="2"/>
  <c r="N57" i="2"/>
  <c r="Q39" i="2"/>
  <c r="R39" i="2" s="1"/>
  <c r="K43" i="2"/>
  <c r="S39" i="2" l="1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W14" i="2" l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40" i="2" s="1"/>
  <c r="V56" i="2"/>
  <c r="U51" i="2"/>
  <c r="U58" i="2" s="1"/>
  <c r="V50" i="2" l="1"/>
  <c r="W38" i="2"/>
  <c r="W40" i="2" s="1"/>
  <c r="N14" i="2"/>
  <c r="V51" i="2"/>
  <c r="V58" i="2" l="1"/>
  <c r="W50" i="2"/>
  <c r="N38" i="2"/>
  <c r="W51" i="2"/>
  <c r="W58" i="2" l="1"/>
  <c r="N56" i="2"/>
  <c r="N31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J40" i="2" s="1"/>
  <c r="U42" i="2"/>
  <c r="U43" i="2" s="1"/>
  <c r="V49" i="2"/>
  <c r="V42" i="2" l="1"/>
  <c r="K41" i="2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<sst xmlns="http://schemas.openxmlformats.org/spreadsheetml/2006/main" count="215" uniqueCount="125">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</sst>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75.75</c:v>
                </c:pt>
                <c:pt idx="4">
                  <c:v>135.75</c:v>
                </c:pt>
                <c:pt idx="5">
                  <c:v>183.75</c:v>
                </c:pt>
                <c:pt idx="6">
                  <c:v>220.75</c:v>
                </c:pt>
                <c:pt idx="7">
                  <c:v>254.75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31.75</c:v>
                </c:pt>
                <c:pt idx="2">
                  <c:v>31.75</c:v>
                </c:pt>
                <c:pt idx="3">
                  <c:v>31.75</c:v>
                </c:pt>
                <c:pt idx="4">
                  <c:v>31.75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815256"/>
        <c:axId val="253821136"/>
      </c:lineChart>
      <c:catAx>
        <c:axId val="253815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3821136"/>
        <c:crosses val="autoZero"/>
        <c:auto val="0"/>
        <c:lblAlgn val="ctr"/>
        <c:lblOffset val="100"/>
        <c:noMultiLvlLbl val="0"/>
      </c:catAx>
      <c:valAx>
        <c:axId val="2538211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3815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7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J7" sqref="J7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9" t="s">
        <v>69</v>
      </c>
      <c r="D3" s="69" t="s">
        <v>70</v>
      </c>
      <c r="E3" s="69" t="s">
        <v>17</v>
      </c>
      <c r="F3" s="90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3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W39" si="2">IF(ISNUMBER(P3)," ",IF(P3="X","X"," "))</f>
        <v>X</v>
      </c>
      <c r="R3" s="51" t="str">
        <f t="shared" si="2"/>
        <v>X</v>
      </c>
      <c r="S3" s="51" t="str">
        <f t="shared" ref="S3:T39" si="3">IF(ISNUMBER(R3)," ",IF(R3="X","X"," "))</f>
        <v>X</v>
      </c>
      <c r="T3" s="51" t="str">
        <f t="shared" si="3"/>
        <v>X</v>
      </c>
      <c r="U3" s="51" t="str">
        <f t="shared" ref="U3:U39" si="4">IF(ISNUMBER(T3)," ",IF(T3="X","X"," "))</f>
        <v>X</v>
      </c>
      <c r="V3" s="51" t="str">
        <f t="shared" si="2"/>
        <v>X</v>
      </c>
      <c r="W3" s="51" t="str">
        <f t="shared" si="2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9" t="s">
        <v>69</v>
      </c>
      <c r="D4" s="69" t="s">
        <v>71</v>
      </c>
      <c r="E4" s="69"/>
      <c r="F4" s="90" t="s">
        <v>113</v>
      </c>
      <c r="G4" s="45">
        <v>41372</v>
      </c>
      <c r="H4" s="45">
        <v>41379</v>
      </c>
      <c r="I4" s="77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5">SUM(O4:CG4)</f>
        <v>10.5</v>
      </c>
      <c r="O4" s="51">
        <v>10.5</v>
      </c>
      <c r="P4" s="51" t="s">
        <v>123</v>
      </c>
      <c r="Q4" s="51"/>
      <c r="R4" s="51"/>
      <c r="S4" s="51"/>
      <c r="T4" s="51"/>
      <c r="U4" s="51"/>
      <c r="V4" s="51"/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9" t="s">
        <v>69</v>
      </c>
      <c r="D5" s="69" t="s">
        <v>72</v>
      </c>
      <c r="E5" s="69"/>
      <c r="F5" s="90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5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9" t="s">
        <v>69</v>
      </c>
      <c r="D6" s="69" t="s">
        <v>73</v>
      </c>
      <c r="E6" s="69"/>
      <c r="F6" s="90" t="s">
        <v>114</v>
      </c>
      <c r="G6" s="45">
        <v>41372</v>
      </c>
      <c r="H6" s="45">
        <v>41393</v>
      </c>
      <c r="I6" s="77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5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9" t="s">
        <v>69</v>
      </c>
      <c r="D7" s="69" t="s">
        <v>110</v>
      </c>
      <c r="E7" s="69" t="s">
        <v>109</v>
      </c>
      <c r="F7" s="90" t="s">
        <v>115</v>
      </c>
      <c r="G7" s="45">
        <v>41372</v>
      </c>
      <c r="H7" s="45">
        <v>41393</v>
      </c>
      <c r="I7" s="77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5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9" t="s">
        <v>69</v>
      </c>
      <c r="D8" s="69" t="s">
        <v>74</v>
      </c>
      <c r="E8" s="69" t="s">
        <v>75</v>
      </c>
      <c r="F8" s="90" t="s">
        <v>122</v>
      </c>
      <c r="G8" s="45">
        <v>41386</v>
      </c>
      <c r="H8" s="45">
        <v>41393</v>
      </c>
      <c r="I8" s="77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5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9" t="s">
        <v>69</v>
      </c>
      <c r="D9" s="69" t="s">
        <v>74</v>
      </c>
      <c r="E9" s="69" t="s">
        <v>76</v>
      </c>
      <c r="F9" s="90" t="s">
        <v>122</v>
      </c>
      <c r="G9" s="45">
        <v>41393</v>
      </c>
      <c r="H9" s="45">
        <v>41407</v>
      </c>
      <c r="I9" s="77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5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90" t="s">
        <v>116</v>
      </c>
      <c r="G10" s="45">
        <v>41393</v>
      </c>
      <c r="H10" s="45">
        <v>41407</v>
      </c>
      <c r="I10" s="77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5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3">
        <v>9</v>
      </c>
      <c r="C11" s="74" t="s">
        <v>69</v>
      </c>
      <c r="D11" s="75" t="s">
        <v>78</v>
      </c>
      <c r="E11" s="75"/>
      <c r="F11" s="90" t="s">
        <v>117</v>
      </c>
      <c r="G11" s="83">
        <v>41393</v>
      </c>
      <c r="H11" s="83">
        <v>41407</v>
      </c>
      <c r="I11" s="77">
        <v>7</v>
      </c>
      <c r="J11" s="84">
        <v>1</v>
      </c>
      <c r="K11" s="85">
        <v>10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5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90" t="s">
        <v>118</v>
      </c>
      <c r="G12" s="76">
        <v>41386</v>
      </c>
      <c r="H12" s="76">
        <v>41393</v>
      </c>
      <c r="I12" s="77">
        <v>4</v>
      </c>
      <c r="J12" s="77">
        <v>1</v>
      </c>
      <c r="K12" s="78">
        <v>3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5"/>
        <v>0</v>
      </c>
      <c r="O12" s="81"/>
      <c r="P12" s="81"/>
      <c r="Q12" s="81"/>
      <c r="R12" s="81"/>
      <c r="S12" s="81" t="str">
        <f t="shared" si="3"/>
        <v xml:space="preserve"> </v>
      </c>
      <c r="T12" s="81" t="str">
        <f t="shared" si="3"/>
        <v xml:space="preserve"> </v>
      </c>
      <c r="U12" s="81" t="str">
        <f t="shared" si="4"/>
        <v xml:space="preserve"> </v>
      </c>
      <c r="V12" s="81" t="str">
        <f t="shared" si="2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7.6" x14ac:dyDescent="0.3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90" t="s">
        <v>122</v>
      </c>
      <c r="G13" s="76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5"/>
        <v>0</v>
      </c>
      <c r="O13" s="51"/>
      <c r="P13" s="51"/>
      <c r="Q13" s="51"/>
      <c r="R13" s="51"/>
      <c r="S13" s="51" t="str">
        <f t="shared" si="3"/>
        <v xml:space="preserve"> </v>
      </c>
      <c r="T13" s="51" t="str">
        <f t="shared" si="3"/>
        <v xml:space="preserve"> </v>
      </c>
      <c r="U13" s="51" t="str">
        <f t="shared" si="4"/>
        <v xml:space="preserve"> </v>
      </c>
      <c r="V13" s="51" t="str">
        <f t="shared" si="2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90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5"/>
        <v>0</v>
      </c>
      <c r="O14" s="51"/>
      <c r="P14" s="51"/>
      <c r="Q14" s="51"/>
      <c r="R14" s="51"/>
      <c r="S14" s="51"/>
      <c r="T14" s="51" t="str">
        <f t="shared" si="3"/>
        <v xml:space="preserve"> </v>
      </c>
      <c r="U14" s="51" t="str">
        <f t="shared" si="4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90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5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3"/>
        <v xml:space="preserve"> </v>
      </c>
      <c r="T15" s="51" t="str">
        <f t="shared" si="3"/>
        <v xml:space="preserve"> </v>
      </c>
      <c r="U15" s="51" t="str">
        <f t="shared" si="4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90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5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3"/>
        <v xml:space="preserve"> </v>
      </c>
      <c r="T16" s="51" t="str">
        <f t="shared" si="3"/>
        <v xml:space="preserve"> </v>
      </c>
      <c r="U16" s="51" t="str">
        <f t="shared" si="4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90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5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90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5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90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5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90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5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90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5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90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5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90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5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90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5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90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5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90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5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90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5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90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5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90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5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90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5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90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5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3"/>
        <v xml:space="preserve"> </v>
      </c>
      <c r="T31" s="51" t="str">
        <f t="shared" si="3"/>
        <v xml:space="preserve"> </v>
      </c>
      <c r="U31" s="51" t="str">
        <f t="shared" si="4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90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5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3"/>
        <v xml:space="preserve"> </v>
      </c>
      <c r="T32" s="51" t="str">
        <f t="shared" si="3"/>
        <v xml:space="preserve"> </v>
      </c>
      <c r="U32" s="51" t="str">
        <f t="shared" si="4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7.6" x14ac:dyDescent="0.3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90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5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3"/>
        <v xml:space="preserve"> </v>
      </c>
      <c r="T33" s="51" t="str">
        <f t="shared" si="3"/>
        <v xml:space="preserve"> </v>
      </c>
      <c r="U33" s="51" t="str">
        <f t="shared" si="4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7.6" x14ac:dyDescent="0.3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90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5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3"/>
        <v xml:space="preserve"> </v>
      </c>
      <c r="T34" s="51" t="str">
        <f t="shared" si="3"/>
        <v xml:space="preserve"> </v>
      </c>
      <c r="U34" s="51" t="str">
        <f t="shared" si="4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90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5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3"/>
        <v xml:space="preserve"> </v>
      </c>
      <c r="T35" s="51" t="str">
        <f t="shared" si="3"/>
        <v xml:space="preserve"> </v>
      </c>
      <c r="U35" s="51" t="str">
        <f t="shared" si="4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90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5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3"/>
        <v xml:space="preserve"> </v>
      </c>
      <c r="T36" s="51" t="str">
        <f t="shared" si="3"/>
        <v xml:space="preserve"> </v>
      </c>
      <c r="U36" s="51" t="str">
        <f t="shared" si="4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90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5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3"/>
        <v xml:space="preserve"> </v>
      </c>
      <c r="T37" s="51" t="str">
        <f t="shared" si="3"/>
        <v xml:space="preserve"> </v>
      </c>
      <c r="U37" s="51" t="str">
        <f t="shared" si="4"/>
        <v xml:space="preserve"> </v>
      </c>
      <c r="V37" s="51" t="str">
        <f t="shared" si="2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/>
      <c r="C38" s="69"/>
      <c r="D38" s="69"/>
      <c r="E38" s="69"/>
      <c r="F38" s="17"/>
      <c r="G38" s="45" t="str">
        <f t="shared" ref="G38:G39" ca="1" si="19">IF(OR(ISBLANK($G$3),ISBLANK($C38)),"",OFFSET($O$2,0,I38+MATCH(G37,$O$2:$W$2,0)-1))</f>
        <v/>
      </c>
      <c r="H38" s="45" t="str">
        <f t="shared" ref="H38" ca="1" si="20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5"/>
        <v>0</v>
      </c>
      <c r="O38" s="51"/>
      <c r="P38" s="51" t="str">
        <f t="shared" ref="P38:W38" si="21">IF(ISNUMBER(O38)," ",IF(O38="X","X"," "))</f>
        <v xml:space="preserve"> </v>
      </c>
      <c r="Q38" s="51" t="str">
        <f t="shared" si="21"/>
        <v xml:space="preserve"> </v>
      </c>
      <c r="R38" s="51" t="str">
        <f t="shared" si="21"/>
        <v xml:space="preserve"> </v>
      </c>
      <c r="S38" s="51" t="str">
        <f t="shared" si="3"/>
        <v xml:space="preserve"> </v>
      </c>
      <c r="T38" s="51" t="str">
        <f t="shared" si="3"/>
        <v xml:space="preserve"> </v>
      </c>
      <c r="U38" s="51" t="str">
        <f t="shared" si="4"/>
        <v xml:space="preserve"> </v>
      </c>
      <c r="V38" s="51" t="str">
        <f t="shared" si="2"/>
        <v xml:space="preserve"> </v>
      </c>
      <c r="W38" s="51" t="str">
        <f t="shared" si="21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/>
      <c r="C39" s="4"/>
      <c r="D39" s="4"/>
      <c r="E39" s="4"/>
      <c r="F39" s="17"/>
      <c r="G39" s="45" t="str">
        <f t="shared" ca="1" si="19"/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5"/>
        <v>0</v>
      </c>
      <c r="O39" s="51"/>
      <c r="P39" s="51" t="str">
        <f t="shared" ref="P39" si="22">IF(ISNUMBER(O39)," ",IF(O39="X","X"," "))</f>
        <v xml:space="preserve"> </v>
      </c>
      <c r="Q39" s="51" t="str">
        <f t="shared" ref="Q39" si="23">IF(ISNUMBER(P39)," ",IF(P39="X","X"," "))</f>
        <v xml:space="preserve"> </v>
      </c>
      <c r="R39" s="51" t="str">
        <f t="shared" ref="R39" si="24">IF(ISNUMBER(Q39)," ",IF(Q39="X","X"," "))</f>
        <v xml:space="preserve"> </v>
      </c>
      <c r="S39" s="51" t="str">
        <f t="shared" si="3"/>
        <v xml:space="preserve"> </v>
      </c>
      <c r="T39" s="51" t="str">
        <f t="shared" si="3"/>
        <v xml:space="preserve"> </v>
      </c>
      <c r="U39" s="51" t="str">
        <f t="shared" si="4"/>
        <v xml:space="preserve"> </v>
      </c>
      <c r="V39" s="51" t="str">
        <f t="shared" si="2"/>
        <v xml:space="preserve"> </v>
      </c>
      <c r="W39" s="51" t="str">
        <f t="shared" ref="W39" si="25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6">SUM(O3:O39)</f>
        <v>31.75</v>
      </c>
      <c r="P40" s="56">
        <f t="shared" si="26"/>
        <v>0</v>
      </c>
      <c r="Q40" s="56">
        <f t="shared" si="26"/>
        <v>0</v>
      </c>
      <c r="R40" s="56">
        <f t="shared" si="26"/>
        <v>0</v>
      </c>
      <c r="S40" s="56">
        <f t="shared" si="26"/>
        <v>0</v>
      </c>
      <c r="T40" s="56">
        <f t="shared" si="26"/>
        <v>0</v>
      </c>
      <c r="U40" s="56">
        <f t="shared" si="26"/>
        <v>0</v>
      </c>
      <c r="V40" s="56">
        <f t="shared" si="26"/>
        <v>0</v>
      </c>
      <c r="W40" s="56">
        <f t="shared" si="26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18"/>
      <c r="C41" s="18"/>
      <c r="D41" s="18"/>
      <c r="E41" s="18"/>
      <c r="F41" s="18"/>
      <c r="G41" s="18"/>
      <c r="H41" s="18"/>
      <c r="I41" s="102" t="s">
        <v>60</v>
      </c>
      <c r="J41" s="103"/>
      <c r="K41" s="48">
        <f>K43/J40</f>
        <v>31.84375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4.4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 t="shared" ref="N42:W42" si="27">IF(OR(ISBLANK(O2),O2=$X$2),"",O2)</f>
        <v>41372</v>
      </c>
      <c r="O42" s="27">
        <f t="shared" si="27"/>
        <v>41379</v>
      </c>
      <c r="P42" s="27">
        <f t="shared" si="27"/>
        <v>41386</v>
      </c>
      <c r="Q42" s="27">
        <f t="shared" si="27"/>
        <v>41393</v>
      </c>
      <c r="R42" s="27">
        <f t="shared" si="27"/>
        <v>41407</v>
      </c>
      <c r="S42" s="27">
        <f t="shared" si="27"/>
        <v>41414</v>
      </c>
      <c r="T42" s="27">
        <f t="shared" si="27"/>
        <v>41421</v>
      </c>
      <c r="U42" s="27">
        <f t="shared" si="27"/>
        <v>41428</v>
      </c>
      <c r="V42" s="27">
        <f t="shared" si="27"/>
        <v>41435</v>
      </c>
      <c r="W42" s="27" t="str">
        <f t="shared" si="27"/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29"/>
      <c r="C43" s="99" t="s">
        <v>0</v>
      </c>
      <c r="D43" s="100"/>
      <c r="E43" s="100"/>
      <c r="F43" s="100"/>
      <c r="G43" s="100"/>
      <c r="H43" s="100"/>
      <c r="I43" s="101"/>
      <c r="J43" s="30">
        <f ca="1">MAX(H3:H38)-MIN(G3:G38)</f>
        <v>56</v>
      </c>
      <c r="K43" s="30">
        <f>SUM(K3:K39)</f>
        <v>254.75</v>
      </c>
      <c r="L43" s="31"/>
      <c r="M43" s="32"/>
      <c r="N43" s="68">
        <v>296</v>
      </c>
      <c r="O43" s="50">
        <f t="shared" ref="O43:U43" si="28">IF(O42="","",N43)</f>
        <v>296</v>
      </c>
      <c r="P43" s="50">
        <f t="shared" si="28"/>
        <v>296</v>
      </c>
      <c r="Q43" s="50">
        <f t="shared" si="28"/>
        <v>296</v>
      </c>
      <c r="R43" s="50">
        <f t="shared" si="28"/>
        <v>296</v>
      </c>
      <c r="S43" s="50">
        <f t="shared" si="28"/>
        <v>296</v>
      </c>
      <c r="T43" s="50">
        <f t="shared" si="28"/>
        <v>296</v>
      </c>
      <c r="U43" s="50">
        <f t="shared" si="28"/>
        <v>296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26</v>
      </c>
      <c r="P44" s="34">
        <f t="array" aca="1" ref="P44" ca="1">IF(P42="","",O44+IF(ISNA(VLOOKUP(Q2,$H$2:$H$39,2,FALSE)),0,SUM(IF($H$2:$K$39=Q2,$K$2:$K$39))))</f>
        <v>26</v>
      </c>
      <c r="Q44" s="34">
        <f t="array" aca="1" ref="Q44" ca="1">IF(Q42="","",P44+IF(ISNA(VLOOKUP(R2,$H$2:$H$39,2,FALSE)),0,SUM(IF($H$2:$K$39=R2,$K$2:$K$39))))</f>
        <v>75.75</v>
      </c>
      <c r="R44" s="34">
        <f t="array" aca="1" ref="R44" ca="1">IF(R42="","",Q44+IF(ISNA(VLOOKUP(S2,$H$2:$H$39,2,FALSE)),0,SUM(IF($H$2:$K$39=S2,$K$2:$K$39))))</f>
        <v>135.75</v>
      </c>
      <c r="S44" s="34">
        <f t="array" aca="1" ref="S44" ca="1">IF(S42="","",R44+IF(ISNA(VLOOKUP(T2,$H$2:$H$39,2,FALSE)),0,SUM(IF($H$2:$K$39=T2,$K$2:$K$39))))</f>
        <v>183.75</v>
      </c>
      <c r="T44" s="34">
        <f t="array" aca="1" ref="T44" ca="1">IF(T42="","",S44+IF(ISNA(VLOOKUP(U2,$H$2:$H$39,2,FALSE)),0,SUM(IF($H$2:$K$39=U2,$K$2:$K$39))))</f>
        <v>220.75</v>
      </c>
      <c r="U44" s="34">
        <f t="array" aca="1" ref="U44" ca="1">IF(U42="","",T44+IF(ISNA(VLOOKUP(V2,$H$2:$H$39,2,FALSE)),0,SUM(IF($H$2:$K$39=V2,$K$2:$K$39))))</f>
        <v>254.75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26</v>
      </c>
      <c r="P45" s="6">
        <f>SUMIFS($K$3:$K$39,Q3:Q39,"=X")</f>
        <v>13</v>
      </c>
      <c r="Q45" s="6">
        <f>SUMIFS($K$3:$K$39,R3:R39,"=X")</f>
        <v>13</v>
      </c>
      <c r="R45" s="6">
        <f>SUMIFS($K$3:$K$39,S3:S39,"=X")</f>
        <v>13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31.75</v>
      </c>
      <c r="P46" s="6">
        <f>SUM(P3:P39)+O46</f>
        <v>31.75</v>
      </c>
      <c r="Q46" s="6">
        <f>SUM(Q3:Q39)+P46</f>
        <v>31.75</v>
      </c>
      <c r="R46" s="6">
        <f>SUM(R3:R39)+Q46</f>
        <v>31.75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3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1" t="s">
        <v>19</v>
      </c>
      <c r="N48" s="92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4.4" x14ac:dyDescent="0.3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 t="shared" ref="O49:V49" si="29">O2</f>
        <v>41372</v>
      </c>
      <c r="P49" s="39">
        <f t="shared" si="29"/>
        <v>41379</v>
      </c>
      <c r="Q49" s="39">
        <f t="shared" si="29"/>
        <v>41386</v>
      </c>
      <c r="R49" s="39">
        <f t="shared" si="29"/>
        <v>41393</v>
      </c>
      <c r="S49" s="39">
        <f t="shared" si="29"/>
        <v>41407</v>
      </c>
      <c r="T49" s="39">
        <f t="shared" si="29"/>
        <v>41414</v>
      </c>
      <c r="U49" s="39">
        <f t="shared" si="29"/>
        <v>41421</v>
      </c>
      <c r="V49" s="39">
        <f t="shared" si="29"/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3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 t="shared" ref="O50:W51" si="30">SUMIF($F$3:$F$39,$M50,O$3:O$39)</f>
        <v>0</v>
      </c>
      <c r="P50" s="37">
        <f t="shared" si="30"/>
        <v>0</v>
      </c>
      <c r="Q50" s="37">
        <f t="shared" si="30"/>
        <v>0</v>
      </c>
      <c r="R50" s="37">
        <f t="shared" si="30"/>
        <v>0</v>
      </c>
      <c r="S50" s="37">
        <f t="shared" si="30"/>
        <v>0</v>
      </c>
      <c r="T50" s="37">
        <f t="shared" si="30"/>
        <v>0</v>
      </c>
      <c r="U50" s="37">
        <f t="shared" si="30"/>
        <v>0</v>
      </c>
      <c r="V50" s="37">
        <f t="shared" si="30"/>
        <v>0</v>
      </c>
      <c r="W50" s="37">
        <f t="shared" si="30"/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3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 t="shared" si="30"/>
        <v>0</v>
      </c>
      <c r="P51" s="37">
        <f t="shared" si="30"/>
        <v>0</v>
      </c>
      <c r="Q51" s="37">
        <f t="shared" si="30"/>
        <v>0</v>
      </c>
      <c r="R51" s="37">
        <f t="shared" si="30"/>
        <v>0</v>
      </c>
      <c r="S51" s="37">
        <f t="shared" si="30"/>
        <v>0</v>
      </c>
      <c r="T51" s="37">
        <f t="shared" si="30"/>
        <v>0</v>
      </c>
      <c r="U51" s="37">
        <f t="shared" si="30"/>
        <v>0</v>
      </c>
      <c r="V51" s="37">
        <f t="shared" si="30"/>
        <v>0</v>
      </c>
      <c r="W51" s="37">
        <f t="shared" si="30"/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3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3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3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3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3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 t="shared" ref="O56:V57" si="31">SUMIF($F$3:$F$39,$M56,O$3:O$39)</f>
        <v>0</v>
      </c>
      <c r="P56" s="37">
        <f t="shared" si="31"/>
        <v>0</v>
      </c>
      <c r="Q56" s="37">
        <f t="shared" si="31"/>
        <v>0</v>
      </c>
      <c r="R56" s="37">
        <f t="shared" si="31"/>
        <v>0</v>
      </c>
      <c r="S56" s="37">
        <f t="shared" si="31"/>
        <v>0</v>
      </c>
      <c r="T56" s="37">
        <f t="shared" si="31"/>
        <v>0</v>
      </c>
      <c r="U56" s="37">
        <f t="shared" si="31"/>
        <v>0</v>
      </c>
      <c r="V56" s="37">
        <f t="shared" si="31"/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3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 t="shared" si="31"/>
        <v>0</v>
      </c>
      <c r="P57" s="37">
        <f t="shared" si="31"/>
        <v>0</v>
      </c>
      <c r="Q57" s="37">
        <f t="shared" si="31"/>
        <v>0</v>
      </c>
      <c r="R57" s="37">
        <f t="shared" si="31"/>
        <v>0</v>
      </c>
      <c r="S57" s="37">
        <f t="shared" si="31"/>
        <v>0</v>
      </c>
      <c r="T57" s="37">
        <f t="shared" si="31"/>
        <v>0</v>
      </c>
      <c r="U57" s="37">
        <f t="shared" si="31"/>
        <v>0</v>
      </c>
      <c r="V57" s="37">
        <f t="shared" si="31"/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32">SUM(O50:O57)</f>
        <v>0</v>
      </c>
      <c r="P58" s="48">
        <f t="shared" si="32"/>
        <v>0</v>
      </c>
      <c r="Q58" s="48">
        <f t="shared" si="32"/>
        <v>0</v>
      </c>
      <c r="R58" s="48">
        <f t="shared" si="32"/>
        <v>0</v>
      </c>
      <c r="S58" s="48">
        <f t="shared" si="32"/>
        <v>0</v>
      </c>
      <c r="T58" s="48">
        <f t="shared" si="32"/>
        <v>0</v>
      </c>
      <c r="U58" s="48">
        <f t="shared" si="32"/>
        <v>0</v>
      </c>
      <c r="V58" s="48">
        <f t="shared" si="32"/>
        <v>0</v>
      </c>
      <c r="W58" s="48">
        <f t="shared" si="32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3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3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3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3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3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43:W43">
    <cfRule type="expression" dxfId="12" priority="145">
      <formula>O43=N$43</formula>
    </cfRule>
  </conditionalFormatting>
  <conditionalFormatting sqref="O45:W45">
    <cfRule type="cellIs" dxfId="11" priority="22" operator="greaterThan">
      <formula>0</formula>
    </cfRule>
  </conditionalFormatting>
  <conditionalFormatting sqref="O46:W46">
    <cfRule type="cellIs" dxfId="10" priority="21" operator="greaterThan">
      <formula>0</formula>
    </cfRule>
  </conditionalFormatting>
  <conditionalFormatting sqref="G3:H39">
    <cfRule type="expression" dxfId="9" priority="11">
      <formula>FormulaInCell</formula>
    </cfRule>
  </conditionalFormatting>
  <conditionalFormatting sqref="O3:W39">
    <cfRule type="cellIs" dxfId="8" priority="18" operator="equal">
      <formula>"X"</formula>
    </cfRule>
    <cfRule type="cellIs" dxfId="7" priority="19" operator="greaterThan">
      <formula>0</formula>
    </cfRule>
    <cfRule type="expression" dxfId="6" priority="20">
      <formula>AND(O$2&gt;=$G3,O$2&lt;$H3,ISNUMBER(O3))</formula>
    </cfRule>
    <cfRule type="expression" dxfId="5" priority="23">
      <formula>AND(O$2&gt;=$G3,O$2&lt;$H3)</formula>
    </cfRule>
    <cfRule type="expression" dxfId="4" priority="24">
      <formula>AND(ISNUMBER(O3))</formula>
    </cfRule>
  </conditionalFormatting>
  <conditionalFormatting sqref="O49:W49 O2:W2">
    <cfRule type="expression" dxfId="3" priority="6">
      <formula>O2&gt;MAX($H$3:$H$39)</formula>
    </cfRule>
  </conditionalFormatting>
  <conditionalFormatting sqref="N42:W42">
    <cfRule type="expression" dxfId="2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" priority="2" operator="lessThan">
      <formula>$K$41</formula>
    </cfRule>
    <cfRule type="cellIs" dxfId="0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3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2013-04-15T16:05:32Z</dcterms:modified>
</cp:coreProperties>
</file>