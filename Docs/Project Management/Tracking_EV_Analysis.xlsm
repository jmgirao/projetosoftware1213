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R12" i="2"/>
  <c r="R43"/>
  <c r="R7" l="1"/>
  <c r="R11" l="1"/>
  <c r="P48"/>
  <c r="Q48" s="1"/>
  <c r="R48" s="1"/>
  <c r="S48" s="1"/>
  <c r="T48" s="1"/>
  <c r="U48" s="1"/>
  <c r="V48" s="1"/>
  <c r="W48" s="1"/>
  <c r="P49"/>
  <c r="Q49" s="1"/>
  <c r="R49" s="1"/>
  <c r="S49" s="1"/>
  <c r="T49" s="1"/>
  <c r="U49" s="1"/>
  <c r="V49" s="1"/>
  <c r="W49" s="1"/>
  <c r="P50"/>
  <c r="Q50" s="1"/>
  <c r="R50" s="1"/>
  <c r="S50" s="1"/>
  <c r="T50" s="1"/>
  <c r="U50" s="1"/>
  <c r="V50" s="1"/>
  <c r="W50" s="1"/>
  <c r="L33" a="1"/>
  <c r="L33" s="1"/>
  <c r="M33"/>
  <c r="N33"/>
  <c r="L34" a="1"/>
  <c r="L34" s="1"/>
  <c r="M34"/>
  <c r="N34"/>
  <c r="P53"/>
  <c r="Q53"/>
  <c r="R53" s="1"/>
  <c r="S53" s="1"/>
  <c r="T53" s="1"/>
  <c r="U53" s="1"/>
  <c r="V53" s="1"/>
  <c r="W53" s="1"/>
  <c r="P54"/>
  <c r="Q54" s="1"/>
  <c r="P55"/>
  <c r="Q55"/>
  <c r="R55" s="1"/>
  <c r="S55" s="1"/>
  <c r="T55" s="1"/>
  <c r="U55" s="1"/>
  <c r="V55" s="1"/>
  <c r="W55" s="1"/>
  <c r="P52"/>
  <c r="Q52" s="1"/>
  <c r="P51"/>
  <c r="Q42"/>
  <c r="P41"/>
  <c r="O40"/>
  <c r="R8"/>
  <c r="M55" l="1"/>
  <c r="R54"/>
  <c r="S54" s="1"/>
  <c r="T54" s="1"/>
  <c r="U54" s="1"/>
  <c r="V54" s="1"/>
  <c r="W54" s="1"/>
  <c r="L53" a="1"/>
  <c r="L53" s="1"/>
  <c r="L55" a="1"/>
  <c r="L55" s="1"/>
  <c r="N54"/>
  <c r="M54"/>
  <c r="N55"/>
  <c r="N53"/>
  <c r="M53"/>
  <c r="R52"/>
  <c r="S52" s="1"/>
  <c r="T52" s="1"/>
  <c r="U52" s="1"/>
  <c r="V52" s="1"/>
  <c r="W52" s="1"/>
  <c r="Q51"/>
  <c r="R51" s="1"/>
  <c r="S51" s="1"/>
  <c r="T51" s="1"/>
  <c r="U51" s="1"/>
  <c r="V51" s="1"/>
  <c r="W51" s="1"/>
  <c r="M48"/>
  <c r="Q8"/>
  <c r="M52" l="1"/>
  <c r="M49"/>
  <c r="L54" a="1"/>
  <c r="L54" s="1"/>
  <c r="L51" a="1"/>
  <c r="L51" s="1"/>
  <c r="N52"/>
  <c r="L52" a="1"/>
  <c r="L52" s="1"/>
  <c r="N50"/>
  <c r="N51"/>
  <c r="M51"/>
  <c r="L50" a="1"/>
  <c r="L50" s="1"/>
  <c r="M50"/>
  <c r="L49" a="1"/>
  <c r="L49" s="1"/>
  <c r="N48"/>
  <c r="N49"/>
  <c r="L48" a="1"/>
  <c r="L48" s="1"/>
  <c r="P42"/>
  <c r="S42" s="1"/>
  <c r="T42" s="1"/>
  <c r="U42" s="1"/>
  <c r="V42" s="1"/>
  <c r="P43"/>
  <c r="Q43" s="1"/>
  <c r="S43" s="1"/>
  <c r="T43" s="1"/>
  <c r="U43" s="1"/>
  <c r="V43" s="1"/>
  <c r="W43" s="1"/>
  <c r="P44"/>
  <c r="P45"/>
  <c r="Q45" s="1"/>
  <c r="P46"/>
  <c r="Q46" s="1"/>
  <c r="R46" s="1"/>
  <c r="S46" s="1"/>
  <c r="T46" s="1"/>
  <c r="U46" s="1"/>
  <c r="V46" s="1"/>
  <c r="W46" s="1"/>
  <c r="P47"/>
  <c r="Q47" s="1"/>
  <c r="R47" s="1"/>
  <c r="S47" s="1"/>
  <c r="T47" s="1"/>
  <c r="U47" s="1"/>
  <c r="V47" s="1"/>
  <c r="W47" s="1"/>
  <c r="P56"/>
  <c r="P57"/>
  <c r="Q57" s="1"/>
  <c r="P58"/>
  <c r="Q58" s="1"/>
  <c r="R58" s="1"/>
  <c r="S58" s="1"/>
  <c r="T58" s="1"/>
  <c r="U58" s="1"/>
  <c r="V58" s="1"/>
  <c r="W58" s="1"/>
  <c r="P59"/>
  <c r="Q59" l="1"/>
  <c r="R59" s="1"/>
  <c r="S59" s="1"/>
  <c r="T59" s="1"/>
  <c r="U59" s="1"/>
  <c r="V59" s="1"/>
  <c r="W59" s="1"/>
  <c r="M47"/>
  <c r="M43"/>
  <c r="L58" a="1"/>
  <c r="L58" s="1"/>
  <c r="R57"/>
  <c r="S57" s="1"/>
  <c r="T57" s="1"/>
  <c r="U57" s="1"/>
  <c r="V57" s="1"/>
  <c r="W57" s="1"/>
  <c r="R45"/>
  <c r="S45" s="1"/>
  <c r="T45" s="1"/>
  <c r="U45" s="1"/>
  <c r="V45" s="1"/>
  <c r="W45" s="1"/>
  <c r="N58"/>
  <c r="M58"/>
  <c r="M46"/>
  <c r="Q56"/>
  <c r="Q44"/>
  <c r="O71"/>
  <c r="M7"/>
  <c r="M10"/>
  <c r="M17"/>
  <c r="M18"/>
  <c r="M19"/>
  <c r="M20"/>
  <c r="M21"/>
  <c r="M22"/>
  <c r="M23"/>
  <c r="M24"/>
  <c r="M25"/>
  <c r="M26"/>
  <c r="M27"/>
  <c r="M28"/>
  <c r="M29"/>
  <c r="M30"/>
  <c r="L17" a="1"/>
  <c r="L17" s="1"/>
  <c r="L18" a="1"/>
  <c r="L18" s="1"/>
  <c r="L19" a="1"/>
  <c r="L19" s="1"/>
  <c r="L20" a="1"/>
  <c r="L20" s="1"/>
  <c r="L21" a="1"/>
  <c r="L21" s="1"/>
  <c r="L22" a="1"/>
  <c r="L22" s="1"/>
  <c r="L23" a="1"/>
  <c r="L23" s="1"/>
  <c r="L24" a="1"/>
  <c r="L24" s="1"/>
  <c r="L25" a="1"/>
  <c r="L25" s="1"/>
  <c r="L26" a="1"/>
  <c r="L26" s="1"/>
  <c r="L27" a="1"/>
  <c r="L27" s="1"/>
  <c r="L28" a="1"/>
  <c r="L28" s="1"/>
  <c r="L29" a="1"/>
  <c r="L29" s="1"/>
  <c r="L30" a="1"/>
  <c r="L30" s="1"/>
  <c r="N17"/>
  <c r="N18"/>
  <c r="N19"/>
  <c r="N20"/>
  <c r="N21"/>
  <c r="N22"/>
  <c r="N23"/>
  <c r="N24"/>
  <c r="N25"/>
  <c r="N26"/>
  <c r="N27"/>
  <c r="N28"/>
  <c r="N29"/>
  <c r="N30"/>
  <c r="N47" l="1"/>
  <c r="N59"/>
  <c r="N57"/>
  <c r="L47" a="1"/>
  <c r="L47" s="1"/>
  <c r="M59"/>
  <c r="L59" a="1"/>
  <c r="L59" s="1"/>
  <c r="L57" a="1"/>
  <c r="L57" s="1"/>
  <c r="N45"/>
  <c r="R44"/>
  <c r="R56"/>
  <c r="M57"/>
  <c r="M45"/>
  <c r="N7"/>
  <c r="Q3"/>
  <c r="N4"/>
  <c r="N5"/>
  <c r="N6"/>
  <c r="N8"/>
  <c r="N9"/>
  <c r="N10"/>
  <c r="N11"/>
  <c r="L9" a="1"/>
  <c r="L9" s="1"/>
  <c r="L10" a="1"/>
  <c r="L10" s="1"/>
  <c r="S44" l="1"/>
  <c r="T44" s="1"/>
  <c r="U44" s="1"/>
  <c r="V44" s="1"/>
  <c r="W44" s="1"/>
  <c r="N44"/>
  <c r="S56"/>
  <c r="R3"/>
  <c r="S3" s="1"/>
  <c r="O66"/>
  <c r="W62"/>
  <c r="O60"/>
  <c r="T12"/>
  <c r="U12" s="1"/>
  <c r="V12" s="1"/>
  <c r="U13"/>
  <c r="V13" s="1"/>
  <c r="S15"/>
  <c r="T15" s="1"/>
  <c r="U15" s="1"/>
  <c r="V15" s="1"/>
  <c r="W15" s="1"/>
  <c r="S16"/>
  <c r="T16" s="1"/>
  <c r="U16" s="1"/>
  <c r="V16" s="1"/>
  <c r="W16" s="1"/>
  <c r="O2"/>
  <c r="P15"/>
  <c r="P16"/>
  <c r="P31"/>
  <c r="P32"/>
  <c r="P35"/>
  <c r="P36"/>
  <c r="P37"/>
  <c r="P38"/>
  <c r="P39"/>
  <c r="Q39" s="1"/>
  <c r="R39" s="1"/>
  <c r="S39" s="1"/>
  <c r="T39" s="1"/>
  <c r="U39" s="1"/>
  <c r="V39" s="1"/>
  <c r="O77"/>
  <c r="P77"/>
  <c r="Q77"/>
  <c r="R77"/>
  <c r="S77"/>
  <c r="T77"/>
  <c r="U77"/>
  <c r="V77"/>
  <c r="W77"/>
  <c r="M44" l="1"/>
  <c r="L46" a="1"/>
  <c r="L46" s="1"/>
  <c r="N46"/>
  <c r="T56"/>
  <c r="Q32"/>
  <c r="R32" s="1"/>
  <c r="S32" s="1"/>
  <c r="T32" s="1"/>
  <c r="U32" s="1"/>
  <c r="V32" s="1"/>
  <c r="W32" s="1"/>
  <c r="M16"/>
  <c r="Q15"/>
  <c r="M15" s="1"/>
  <c r="Q38"/>
  <c r="R38" s="1"/>
  <c r="S38" s="1"/>
  <c r="T38" s="1"/>
  <c r="U38" s="1"/>
  <c r="V38" s="1"/>
  <c r="W38" s="1"/>
  <c r="S31"/>
  <c r="T31" s="1"/>
  <c r="U31" s="1"/>
  <c r="V31" s="1"/>
  <c r="W31" s="1"/>
  <c r="Q37"/>
  <c r="R37" s="1"/>
  <c r="S37" s="1"/>
  <c r="T37" s="1"/>
  <c r="U37" s="1"/>
  <c r="V37" s="1"/>
  <c r="W37" s="1"/>
  <c r="L7" a="1"/>
  <c r="L7" s="1"/>
  <c r="L6" a="1"/>
  <c r="L6" s="1"/>
  <c r="L4" a="1"/>
  <c r="L4" s="1"/>
  <c r="Q35"/>
  <c r="R35" s="1"/>
  <c r="S35" s="1"/>
  <c r="T35" s="1"/>
  <c r="U35" s="1"/>
  <c r="V35" s="1"/>
  <c r="W35" s="1"/>
  <c r="Q36"/>
  <c r="R36" s="1"/>
  <c r="S36" s="1"/>
  <c r="T36" s="1"/>
  <c r="U36" s="1"/>
  <c r="V36" s="1"/>
  <c r="W36" s="1"/>
  <c r="N62"/>
  <c r="T14"/>
  <c r="T3"/>
  <c r="W39"/>
  <c r="M39" s="1"/>
  <c r="N77"/>
  <c r="R41"/>
  <c r="K63"/>
  <c r="L35" l="1" a="1"/>
  <c r="L35" s="1"/>
  <c r="L38" a="1"/>
  <c r="L38" s="1"/>
  <c r="L36" a="1"/>
  <c r="L36" s="1"/>
  <c r="M37"/>
  <c r="M35"/>
  <c r="L37" a="1"/>
  <c r="L37" s="1"/>
  <c r="M31"/>
  <c r="L31" a="1"/>
  <c r="L31" s="1"/>
  <c r="U56"/>
  <c r="L32" a="1"/>
  <c r="L32" s="1"/>
  <c r="L39" a="1"/>
  <c r="L39" s="1"/>
  <c r="M32"/>
  <c r="M36"/>
  <c r="M38"/>
  <c r="S41"/>
  <c r="T41" s="1"/>
  <c r="U41" s="1"/>
  <c r="V41" s="1"/>
  <c r="U14"/>
  <c r="U3"/>
  <c r="N43" l="1"/>
  <c r="N41"/>
  <c r="V56"/>
  <c r="W56" s="1"/>
  <c r="N56" s="1"/>
  <c r="V14"/>
  <c r="V3"/>
  <c r="M56" l="1"/>
  <c r="L56" a="1"/>
  <c r="L56" s="1"/>
  <c r="W14"/>
  <c r="M14" s="1"/>
  <c r="N3"/>
  <c r="O70"/>
  <c r="O76"/>
  <c r="P60"/>
  <c r="O65" l="1"/>
  <c r="P66"/>
  <c r="Q40"/>
  <c r="Q76"/>
  <c r="P70"/>
  <c r="O78"/>
  <c r="N13"/>
  <c r="N37"/>
  <c r="N35"/>
  <c r="N32"/>
  <c r="N15"/>
  <c r="P71"/>
  <c r="P76"/>
  <c r="P65" l="1"/>
  <c r="Q60"/>
  <c r="Q66"/>
  <c r="Q70"/>
  <c r="R40"/>
  <c r="P78"/>
  <c r="R76"/>
  <c r="N36"/>
  <c r="N39"/>
  <c r="Q71"/>
  <c r="R70"/>
  <c r="N16"/>
  <c r="N38"/>
  <c r="Q78" l="1"/>
  <c r="Q65"/>
  <c r="R60"/>
  <c r="R66"/>
  <c r="S40"/>
  <c r="S76"/>
  <c r="R71"/>
  <c r="R78" s="1"/>
  <c r="S70" l="1"/>
  <c r="R65"/>
  <c r="S60"/>
  <c r="T40"/>
  <c r="T60" s="1"/>
  <c r="S71"/>
  <c r="T76"/>
  <c r="S78" l="1"/>
  <c r="T70"/>
  <c r="U40"/>
  <c r="U70"/>
  <c r="U76"/>
  <c r="T71"/>
  <c r="U60" l="1"/>
  <c r="T78"/>
  <c r="V40"/>
  <c r="V76"/>
  <c r="U71"/>
  <c r="U78" s="1"/>
  <c r="V60" l="1"/>
  <c r="V70"/>
  <c r="N14"/>
  <c r="V71"/>
  <c r="W60" l="1"/>
  <c r="N42"/>
  <c r="L40" a="1"/>
  <c r="L40" s="1"/>
  <c r="M40"/>
  <c r="V78"/>
  <c r="W70"/>
  <c r="N40"/>
  <c r="W71"/>
  <c r="W78" l="1"/>
  <c r="N76"/>
  <c r="N31"/>
  <c r="N70" l="1"/>
  <c r="N71"/>
  <c r="N12"/>
  <c r="N78" l="1"/>
  <c r="P2" l="1"/>
  <c r="M3"/>
  <c r="O69"/>
  <c r="L3" a="1"/>
  <c r="L3" s="1"/>
  <c r="M4" l="1"/>
  <c r="M41"/>
  <c r="L41" a="1"/>
  <c r="L41" s="1"/>
  <c r="O62"/>
  <c r="O63" s="1"/>
  <c r="Q2"/>
  <c r="P69"/>
  <c r="L44" l="1" a="1"/>
  <c r="L44" s="1"/>
  <c r="L42" a="1"/>
  <c r="L42" s="1"/>
  <c r="M42"/>
  <c r="M6"/>
  <c r="L8" a="1"/>
  <c r="L8" s="1"/>
  <c r="R2"/>
  <c r="M9" s="1"/>
  <c r="M5"/>
  <c r="L5" a="1"/>
  <c r="L5" s="1"/>
  <c r="P62"/>
  <c r="P63" s="1"/>
  <c r="L16" a="1"/>
  <c r="L16" s="1"/>
  <c r="L14" a="1"/>
  <c r="L14" s="1"/>
  <c r="Q69"/>
  <c r="L12" l="1" a="1"/>
  <c r="L12" s="1"/>
  <c r="M12"/>
  <c r="L45" a="1"/>
  <c r="L45" s="1"/>
  <c r="L43" a="1"/>
  <c r="L43" s="1"/>
  <c r="M8"/>
  <c r="Q62"/>
  <c r="Q63" s="1"/>
  <c r="S2"/>
  <c r="M13" s="1"/>
  <c r="R69"/>
  <c r="L13" l="1" a="1"/>
  <c r="L13" s="1"/>
  <c r="M11"/>
  <c r="L11" a="1"/>
  <c r="L11" s="1"/>
  <c r="R62"/>
  <c r="R63" s="1"/>
  <c r="T2"/>
  <c r="S69"/>
  <c r="S62" l="1"/>
  <c r="S63" s="1"/>
  <c r="T69"/>
  <c r="U2"/>
  <c r="T62" l="1"/>
  <c r="T63" s="1"/>
  <c r="V2"/>
  <c r="L15" a="1"/>
  <c r="L15" s="1"/>
  <c r="U69"/>
  <c r="W2" l="1"/>
  <c r="J60" s="1"/>
  <c r="U62"/>
  <c r="U63" s="1"/>
  <c r="V69"/>
  <c r="V62" l="1"/>
  <c r="K61"/>
  <c r="V63" l="1"/>
  <c r="N64"/>
  <c r="O64" s="1" a="1"/>
  <c r="O64" s="1"/>
  <c r="P64" s="1" a="1"/>
  <c r="P64" s="1"/>
  <c r="Q64" s="1" a="1"/>
  <c r="Q64" s="1"/>
  <c r="R64" s="1" a="1"/>
  <c r="R64" s="1"/>
  <c r="S64" s="1" a="1"/>
  <c r="S64" s="1"/>
  <c r="T64" s="1" a="1"/>
  <c r="T64" s="1"/>
  <c r="U64" s="1" a="1"/>
  <c r="U64" s="1"/>
  <c r="V64" s="1" a="1"/>
  <c r="V64" s="1"/>
  <c r="J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<sst xmlns="http://schemas.openxmlformats.org/spreadsheetml/2006/main" count="242" uniqueCount="131">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</sst>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4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684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113.25</c:v>
                </c:pt>
                <c:pt idx="5">
                  <c:v>139.25</c:v>
                </c:pt>
                <c:pt idx="6">
                  <c:v>167.25</c:v>
                </c:pt>
                <c:pt idx="7">
                  <c:v>215.25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120.25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73.75</c:v>
                </c:pt>
                <c:pt idx="4">
                  <c:v>99</c:v>
                </c:pt>
              </c:numCache>
            </c:numRef>
          </c:val>
        </c:ser>
        <c:marker val="1"/>
        <c:axId val="172418176"/>
        <c:axId val="172419712"/>
      </c:lineChart>
      <c:catAx>
        <c:axId val="172418176"/>
        <c:scaling>
          <c:orientation val="minMax"/>
        </c:scaling>
        <c:axPos val="b"/>
        <c:numFmt formatCode="dd-mm-aaaa" sourceLinked="1"/>
        <c:tickLblPos val="nextTo"/>
        <c:crossAx val="172419712"/>
        <c:crosses val="autoZero"/>
        <c:lblAlgn val="ctr"/>
        <c:lblOffset val="100"/>
      </c:catAx>
      <c:valAx>
        <c:axId val="17241971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17241817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G12" activePane="bottomRight" state="frozen"/>
      <selection pane="topRight" activeCell="F1" sqref="F1"/>
      <selection pane="bottomLeft" activeCell="A3" sqref="A3"/>
      <selection pane="bottomRight" activeCell="R12" sqref="R12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26.75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41400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112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41400</v>
      </c>
      <c r="I10" s="76">
        <v>7</v>
      </c>
      <c r="J10" s="43">
        <v>2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2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112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2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112</v>
      </c>
      <c r="T12" s="80" t="str">
        <f t="shared" ref="T12:V13" si="4">IF(ISNUMBER(S12)," ",IF(S12="X","X"," "))</f>
        <v>X</v>
      </c>
      <c r="U12" s="80" t="str">
        <f t="shared" si="4"/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112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47" si="14">SUM(O33:CG33)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si="14"/>
        <v>0</v>
      </c>
      <c r="O37" s="51"/>
      <c r="P37" s="51" t="str">
        <f t="shared" ref="P37:R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4"/>
        <v>0</v>
      </c>
      <c r="O38" s="51"/>
      <c r="P38" s="51" t="str">
        <f t="shared" ref="P38:R38" si="19">IF(ISNUMBER(O38)," ",IF(O38="X","X"," "))</f>
        <v xml:space="preserve"> </v>
      </c>
      <c r="Q38" s="51" t="str">
        <f t="shared" si="19"/>
        <v xml:space="preserve"> </v>
      </c>
      <c r="R38" s="51" t="str">
        <f t="shared" si="19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0">IF(ISNUMBER(O39)," ",IF(O39="X","X"," "))</f>
        <v xml:space="preserve"> </v>
      </c>
      <c r="Q39" s="51" t="str">
        <f t="shared" si="20"/>
        <v xml:space="preserve"> </v>
      </c>
      <c r="R39" s="51" t="str">
        <f t="shared" si="20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0</v>
      </c>
      <c r="O40" s="51">
        <f>1+0.75</f>
        <v>1.75</v>
      </c>
      <c r="P40" s="51" t="s">
        <v>113</v>
      </c>
      <c r="Q40" s="51" t="str">
        <f t="shared" ref="Q40:R40" si="21">IF(ISNUMBER(P40)," ",IF(P40="X","X"," "))</f>
        <v>X</v>
      </c>
      <c r="R40" s="51" t="str">
        <f t="shared" si="21"/>
        <v>X</v>
      </c>
      <c r="S40" s="51" t="str">
        <f t="shared" ref="S40:V50" si="22">IF(ISNUMBER(R40)," ",IF(R40="X","X"," "))</f>
        <v>X</v>
      </c>
      <c r="T40" s="51" t="str">
        <f t="shared" si="22"/>
        <v>X</v>
      </c>
      <c r="U40" s="51" t="str">
        <f t="shared" si="22"/>
        <v>X</v>
      </c>
      <c r="V40" s="51" t="str">
        <f t="shared" si="22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4"/>
        <v>0</v>
      </c>
      <c r="O41" s="51"/>
      <c r="P41" s="51">
        <f>0.25+0.5+0.75+0.25</f>
        <v>1.75</v>
      </c>
      <c r="Q41" s="51" t="s">
        <v>113</v>
      </c>
      <c r="R41" s="51" t="str">
        <f t="shared" ref="R41" si="23">IF(ISNUMBER(Q41)," ",IF(Q41="X","X"," "))</f>
        <v>X</v>
      </c>
      <c r="S41" s="51" t="str">
        <f t="shared" si="22"/>
        <v>X</v>
      </c>
      <c r="T41" s="51" t="str">
        <f t="shared" si="22"/>
        <v>X</v>
      </c>
      <c r="U41" s="51" t="str">
        <f t="shared" si="22"/>
        <v>X</v>
      </c>
      <c r="V41" s="51" t="str">
        <f t="shared" si="22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4"/>
        <v>1.75</v>
      </c>
      <c r="O42" s="51"/>
      <c r="P42" s="51" t="str">
        <f t="shared" ref="P42" si="24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2"/>
        <v>X</v>
      </c>
      <c r="T42" s="51" t="str">
        <f t="shared" si="22"/>
        <v>X</v>
      </c>
      <c r="U42" s="51" t="str">
        <f t="shared" si="22"/>
        <v>X</v>
      </c>
      <c r="V42" s="51" t="str">
        <f t="shared" si="22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 t="str">
        <f t="shared" si="13"/>
        <v/>
      </c>
      <c r="N43" s="56">
        <f t="shared" si="14"/>
        <v>1.75</v>
      </c>
      <c r="O43" s="51"/>
      <c r="P43" s="51" t="str">
        <f t="shared" ref="P43:Q50" si="25">IF(ISNUMBER(O43)," ",IF(O43="X","X"," "))</f>
        <v xml:space="preserve"> </v>
      </c>
      <c r="Q43" s="51" t="str">
        <f t="shared" si="25"/>
        <v xml:space="preserve"> </v>
      </c>
      <c r="R43" s="51">
        <f>0.25+0.25+0.25+1.5</f>
        <v>2.25</v>
      </c>
      <c r="S43" s="51" t="str">
        <f t="shared" si="22"/>
        <v xml:space="preserve"> </v>
      </c>
      <c r="T43" s="51" t="str">
        <f t="shared" si="22"/>
        <v xml:space="preserve"> </v>
      </c>
      <c r="U43" s="51" t="str">
        <f t="shared" si="22"/>
        <v xml:space="preserve"> </v>
      </c>
      <c r="V43" s="51" t="str">
        <f t="shared" si="22"/>
        <v xml:space="preserve"> </v>
      </c>
      <c r="W43" s="51" t="str">
        <f t="shared" ref="W43:W50" si="26">IF(ISNUMBER(V43)," ",IF(V43="X","X"," "))</f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2.5</v>
      </c>
      <c r="O44" s="51"/>
      <c r="P44" s="51" t="str">
        <f t="shared" si="25"/>
        <v xml:space="preserve"> </v>
      </c>
      <c r="Q44" s="51" t="str">
        <f t="shared" si="25"/>
        <v xml:space="preserve"> </v>
      </c>
      <c r="R44" s="51" t="str">
        <f t="shared" ref="R44:R50" si="27">IF(ISNUMBER(Q44)," ",IF(Q44="X","X"," "))</f>
        <v xml:space="preserve"> </v>
      </c>
      <c r="S44" s="51" t="str">
        <f t="shared" si="22"/>
        <v xml:space="preserve"> </v>
      </c>
      <c r="T44" s="51" t="str">
        <f t="shared" si="22"/>
        <v xml:space="preserve"> </v>
      </c>
      <c r="U44" s="51" t="str">
        <f t="shared" si="22"/>
        <v xml:space="preserve"> </v>
      </c>
      <c r="V44" s="51" t="str">
        <f t="shared" si="22"/>
        <v xml:space="preserve"> </v>
      </c>
      <c r="W44" s="51" t="str">
        <f t="shared" si="26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4"/>
        <v>2.25</v>
      </c>
      <c r="O45" s="51"/>
      <c r="P45" s="51" t="str">
        <f t="shared" si="25"/>
        <v xml:space="preserve"> </v>
      </c>
      <c r="Q45" s="51" t="str">
        <f t="shared" si="25"/>
        <v xml:space="preserve"> </v>
      </c>
      <c r="R45" s="51" t="str">
        <f t="shared" si="27"/>
        <v xml:space="preserve"> </v>
      </c>
      <c r="S45" s="51" t="str">
        <f t="shared" si="22"/>
        <v xml:space="preserve"> </v>
      </c>
      <c r="T45" s="51" t="str">
        <f t="shared" si="22"/>
        <v xml:space="preserve"> </v>
      </c>
      <c r="U45" s="51" t="str">
        <f t="shared" si="22"/>
        <v xml:space="preserve"> </v>
      </c>
      <c r="V45" s="51" t="str">
        <f t="shared" si="22"/>
        <v xml:space="preserve"> </v>
      </c>
      <c r="W45" s="51" t="str">
        <f t="shared" si="26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4"/>
        <v>0</v>
      </c>
      <c r="O46" s="51"/>
      <c r="P46" s="51" t="str">
        <f t="shared" si="25"/>
        <v xml:space="preserve"> </v>
      </c>
      <c r="Q46" s="51" t="str">
        <f t="shared" si="25"/>
        <v xml:space="preserve"> </v>
      </c>
      <c r="R46" s="51" t="str">
        <f t="shared" si="27"/>
        <v xml:space="preserve"> </v>
      </c>
      <c r="S46" s="51" t="str">
        <f t="shared" si="22"/>
        <v xml:space="preserve"> </v>
      </c>
      <c r="T46" s="51" t="str">
        <f t="shared" si="22"/>
        <v xml:space="preserve"> </v>
      </c>
      <c r="U46" s="51" t="str">
        <f t="shared" si="22"/>
        <v xml:space="preserve"> </v>
      </c>
      <c r="V46" s="51" t="str">
        <f t="shared" si="22"/>
        <v xml:space="preserve"> </v>
      </c>
      <c r="W46" s="51" t="str">
        <f t="shared" si="26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 t="str">
        <f t="array" ref="L47">IF(ISNA(INDEX($O$2:$DA$2,1,MATCH(1,IF($O45:$DM45,1),0))),"",INDEX($O$2:$DA$2,1,MATCH(1,IF($O45:$DM45,1),0)))</f>
        <v/>
      </c>
      <c r="M47" s="55" t="str">
        <f t="shared" si="13"/>
        <v/>
      </c>
      <c r="N47" s="56">
        <f t="shared" si="14"/>
        <v>0</v>
      </c>
      <c r="O47" s="51"/>
      <c r="P47" s="51" t="str">
        <f t="shared" si="25"/>
        <v xml:space="preserve"> </v>
      </c>
      <c r="Q47" s="51" t="str">
        <f t="shared" si="25"/>
        <v xml:space="preserve"> </v>
      </c>
      <c r="R47" s="51" t="str">
        <f t="shared" si="27"/>
        <v xml:space="preserve"> </v>
      </c>
      <c r="S47" s="51" t="str">
        <f t="shared" si="22"/>
        <v xml:space="preserve"> </v>
      </c>
      <c r="T47" s="51" t="str">
        <f t="shared" si="22"/>
        <v xml:space="preserve"> </v>
      </c>
      <c r="U47" s="51" t="str">
        <f t="shared" si="22"/>
        <v xml:space="preserve"> </v>
      </c>
      <c r="V47" s="51" t="str">
        <f t="shared" si="22"/>
        <v xml:space="preserve"> </v>
      </c>
      <c r="W47" s="51" t="str">
        <f t="shared" si="26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/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8:M52" si="28">IF(ISNA(MATCH("X",O48:W48,0)),"",INDEX($O$2:$X$2,1,MATCH("X",O48:W48,0)-1))</f>
        <v/>
      </c>
      <c r="N48" s="56">
        <f t="shared" ref="N48:N52" si="29">SUM(O48:CG48)</f>
        <v>0</v>
      </c>
      <c r="O48" s="51"/>
      <c r="P48" s="51" t="str">
        <f t="shared" si="25"/>
        <v xml:space="preserve"> </v>
      </c>
      <c r="Q48" s="51" t="str">
        <f t="shared" si="25"/>
        <v xml:space="preserve"> </v>
      </c>
      <c r="R48" s="51" t="str">
        <f t="shared" si="27"/>
        <v xml:space="preserve"> </v>
      </c>
      <c r="S48" s="51" t="str">
        <f t="shared" si="22"/>
        <v xml:space="preserve"> </v>
      </c>
      <c r="T48" s="51" t="str">
        <f t="shared" si="22"/>
        <v xml:space="preserve"> </v>
      </c>
      <c r="U48" s="51" t="str">
        <f t="shared" si="22"/>
        <v xml:space="preserve"> </v>
      </c>
      <c r="V48" s="51" t="str">
        <f t="shared" si="22"/>
        <v xml:space="preserve"> </v>
      </c>
      <c r="W48" s="51" t="str">
        <f t="shared" si="26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8"/>
        <v/>
      </c>
      <c r="N49" s="56">
        <f t="shared" si="29"/>
        <v>0</v>
      </c>
      <c r="O49" s="51"/>
      <c r="P49" s="51" t="str">
        <f t="shared" si="25"/>
        <v xml:space="preserve"> </v>
      </c>
      <c r="Q49" s="51" t="str">
        <f t="shared" si="25"/>
        <v xml:space="preserve"> </v>
      </c>
      <c r="R49" s="51" t="str">
        <f t="shared" si="27"/>
        <v xml:space="preserve"> </v>
      </c>
      <c r="S49" s="51" t="str">
        <f t="shared" si="22"/>
        <v xml:space="preserve"> </v>
      </c>
      <c r="T49" s="51" t="str">
        <f t="shared" si="22"/>
        <v xml:space="preserve"> </v>
      </c>
      <c r="U49" s="51" t="str">
        <f t="shared" si="22"/>
        <v xml:space="preserve"> </v>
      </c>
      <c r="V49" s="51" t="str">
        <f t="shared" si="22"/>
        <v xml:space="preserve"> </v>
      </c>
      <c r="W49" s="51" t="str">
        <f t="shared" si="26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8"/>
        <v/>
      </c>
      <c r="N50" s="56">
        <f t="shared" si="29"/>
        <v>0</v>
      </c>
      <c r="O50" s="51"/>
      <c r="P50" s="51" t="str">
        <f t="shared" si="25"/>
        <v xml:space="preserve"> </v>
      </c>
      <c r="Q50" s="51" t="str">
        <f t="shared" si="25"/>
        <v xml:space="preserve"> </v>
      </c>
      <c r="R50" s="51" t="str">
        <f t="shared" si="27"/>
        <v xml:space="preserve"> </v>
      </c>
      <c r="S50" s="51" t="str">
        <f t="shared" si="22"/>
        <v xml:space="preserve"> </v>
      </c>
      <c r="T50" s="51" t="str">
        <f t="shared" si="22"/>
        <v xml:space="preserve"> </v>
      </c>
      <c r="U50" s="51" t="str">
        <f t="shared" si="22"/>
        <v xml:space="preserve"> </v>
      </c>
      <c r="V50" s="51" t="str">
        <f t="shared" si="22"/>
        <v xml:space="preserve"> </v>
      </c>
      <c r="W50" s="51" t="str">
        <f t="shared" si="26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8"/>
        <v/>
      </c>
      <c r="N51" s="56">
        <f t="shared" si="29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8"/>
        <v/>
      </c>
      <c r="N52" s="56">
        <f t="shared" si="29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ref="N53:N55" si="39">SUM(O53:CG53)</f>
        <v>0</v>
      </c>
      <c r="O53" s="51"/>
      <c r="P53" s="51" t="str">
        <f t="shared" ref="P53:P55" si="40">IF(ISNUMBER(O53)," ",IF(O53="X","X"," "))</f>
        <v xml:space="preserve"> </v>
      </c>
      <c r="Q53" s="51" t="str">
        <f t="shared" ref="Q53:Q55" si="41">IF(ISNUMBER(P53)," ",IF(P53="X","X"," "))</f>
        <v xml:space="preserve"> </v>
      </c>
      <c r="R53" s="51" t="str">
        <f t="shared" ref="R53:R55" si="42">IF(ISNUMBER(Q53)," ",IF(Q53="X","X"," "))</f>
        <v xml:space="preserve"> </v>
      </c>
      <c r="S53" s="51" t="str">
        <f t="shared" ref="S53:S55" si="43">IF(ISNUMBER(R53)," ",IF(R53="X","X"," "))</f>
        <v xml:space="preserve"> </v>
      </c>
      <c r="T53" s="51" t="str">
        <f t="shared" ref="T53:T55" si="44">IF(ISNUMBER(S53)," ",IF(S53="X","X"," "))</f>
        <v xml:space="preserve"> </v>
      </c>
      <c r="U53" s="51" t="str">
        <f t="shared" ref="U53:U55" si="45">IF(ISNUMBER(T53)," ",IF(T53="X","X"," "))</f>
        <v xml:space="preserve"> </v>
      </c>
      <c r="V53" s="51" t="str">
        <f t="shared" ref="V53:V55" si="46">IF(ISNUMBER(U53)," ",IF(U53="X","X"," "))</f>
        <v xml:space="preserve"> </v>
      </c>
      <c r="W53" s="51" t="str">
        <f t="shared" ref="W53:W55" si="47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39"/>
        <v>0</v>
      </c>
      <c r="O54" s="51"/>
      <c r="P54" s="51" t="str">
        <f t="shared" si="40"/>
        <v xml:space="preserve"> </v>
      </c>
      <c r="Q54" s="51" t="str">
        <f t="shared" si="41"/>
        <v xml:space="preserve"> </v>
      </c>
      <c r="R54" s="51" t="str">
        <f t="shared" si="42"/>
        <v xml:space="preserve"> </v>
      </c>
      <c r="S54" s="51" t="str">
        <f t="shared" si="43"/>
        <v xml:space="preserve"> </v>
      </c>
      <c r="T54" s="51" t="str">
        <f t="shared" si="44"/>
        <v xml:space="preserve"> </v>
      </c>
      <c r="U54" s="51" t="str">
        <f t="shared" si="45"/>
        <v xml:space="preserve"> </v>
      </c>
      <c r="V54" s="51" t="str">
        <f t="shared" si="46"/>
        <v xml:space="preserve"> </v>
      </c>
      <c r="W54" s="51" t="str">
        <f t="shared" si="47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39"/>
        <v>0</v>
      </c>
      <c r="O55" s="51"/>
      <c r="P55" s="51" t="str">
        <f t="shared" si="40"/>
        <v xml:space="preserve"> </v>
      </c>
      <c r="Q55" s="51" t="str">
        <f t="shared" si="41"/>
        <v xml:space="preserve"> </v>
      </c>
      <c r="R55" s="51" t="str">
        <f t="shared" si="42"/>
        <v xml:space="preserve"> </v>
      </c>
      <c r="S55" s="51" t="str">
        <f t="shared" si="43"/>
        <v xml:space="preserve"> </v>
      </c>
      <c r="T55" s="51" t="str">
        <f t="shared" si="44"/>
        <v xml:space="preserve"> </v>
      </c>
      <c r="U55" s="51" t="str">
        <f t="shared" si="45"/>
        <v xml:space="preserve"> </v>
      </c>
      <c r="V55" s="51" t="str">
        <f t="shared" si="46"/>
        <v xml:space="preserve"> </v>
      </c>
      <c r="W55" s="51" t="str">
        <f t="shared" si="47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ref="N56:N59" si="48">SUM(O56:CG56)</f>
        <v>0</v>
      </c>
      <c r="O56" s="51"/>
      <c r="P56" s="51" t="str">
        <f t="shared" ref="P56:P59" si="49">IF(ISNUMBER(O56)," ",IF(O56="X","X"," "))</f>
        <v xml:space="preserve"> </v>
      </c>
      <c r="Q56" s="51" t="str">
        <f t="shared" ref="Q56:Q59" si="50">IF(ISNUMBER(P56)," ",IF(P56="X","X"," "))</f>
        <v xml:space="preserve"> </v>
      </c>
      <c r="R56" s="51" t="str">
        <f t="shared" ref="R56:R59" si="51">IF(ISNUMBER(Q56)," ",IF(Q56="X","X"," "))</f>
        <v xml:space="preserve"> </v>
      </c>
      <c r="S56" s="51" t="str">
        <f t="shared" ref="S56:S59" si="52">IF(ISNUMBER(R56)," ",IF(R56="X","X"," "))</f>
        <v xml:space="preserve"> </v>
      </c>
      <c r="T56" s="51" t="str">
        <f t="shared" ref="T56:T59" si="53">IF(ISNUMBER(S56)," ",IF(S56="X","X"," "))</f>
        <v xml:space="preserve"> </v>
      </c>
      <c r="U56" s="51" t="str">
        <f t="shared" ref="U56:U59" si="54">IF(ISNUMBER(T56)," ",IF(T56="X","X"," "))</f>
        <v xml:space="preserve"> </v>
      </c>
      <c r="V56" s="51" t="str">
        <f t="shared" ref="V56:V59" si="55">IF(ISNUMBER(U56)," ",IF(U56="X","X"," "))</f>
        <v xml:space="preserve"> </v>
      </c>
      <c r="W56" s="51" t="str">
        <f t="shared" ref="W56:W59" si="56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48"/>
        <v>0</v>
      </c>
      <c r="O57" s="51"/>
      <c r="P57" s="51" t="str">
        <f t="shared" si="49"/>
        <v xml:space="preserve"> </v>
      </c>
      <c r="Q57" s="51" t="str">
        <f t="shared" si="50"/>
        <v xml:space="preserve"> </v>
      </c>
      <c r="R57" s="51" t="str">
        <f t="shared" si="51"/>
        <v xml:space="preserve"> </v>
      </c>
      <c r="S57" s="51" t="str">
        <f t="shared" si="52"/>
        <v xml:space="preserve"> </v>
      </c>
      <c r="T57" s="51" t="str">
        <f t="shared" si="53"/>
        <v xml:space="preserve"> </v>
      </c>
      <c r="U57" s="51" t="str">
        <f t="shared" si="54"/>
        <v xml:space="preserve"> </v>
      </c>
      <c r="V57" s="51" t="str">
        <f t="shared" si="55"/>
        <v xml:space="preserve"> </v>
      </c>
      <c r="W57" s="51" t="str">
        <f t="shared" si="56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48"/>
        <v>0</v>
      </c>
      <c r="O58" s="51"/>
      <c r="P58" s="51" t="str">
        <f t="shared" si="49"/>
        <v xml:space="preserve"> </v>
      </c>
      <c r="Q58" s="51" t="str">
        <f t="shared" si="50"/>
        <v xml:space="preserve"> </v>
      </c>
      <c r="R58" s="51" t="str">
        <f t="shared" si="51"/>
        <v xml:space="preserve"> </v>
      </c>
      <c r="S58" s="51" t="str">
        <f t="shared" si="52"/>
        <v xml:space="preserve"> </v>
      </c>
      <c r="T58" s="51" t="str">
        <f t="shared" si="53"/>
        <v xml:space="preserve"> </v>
      </c>
      <c r="U58" s="51" t="str">
        <f t="shared" si="54"/>
        <v xml:space="preserve"> </v>
      </c>
      <c r="V58" s="51" t="str">
        <f t="shared" si="55"/>
        <v xml:space="preserve"> </v>
      </c>
      <c r="W58" s="51" t="str">
        <f t="shared" si="56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48"/>
        <v>0</v>
      </c>
      <c r="O59" s="51"/>
      <c r="P59" s="51" t="str">
        <f t="shared" si="49"/>
        <v xml:space="preserve"> </v>
      </c>
      <c r="Q59" s="51" t="str">
        <f t="shared" si="50"/>
        <v xml:space="preserve"> </v>
      </c>
      <c r="R59" s="51" t="str">
        <f t="shared" si="51"/>
        <v xml:space="preserve"> </v>
      </c>
      <c r="S59" s="51" t="str">
        <f t="shared" si="52"/>
        <v xml:space="preserve"> </v>
      </c>
      <c r="T59" s="51" t="str">
        <f t="shared" si="53"/>
        <v xml:space="preserve"> </v>
      </c>
      <c r="U59" s="51" t="str">
        <f t="shared" si="54"/>
        <v xml:space="preserve"> </v>
      </c>
      <c r="V59" s="51" t="str">
        <f t="shared" si="55"/>
        <v xml:space="preserve"> </v>
      </c>
      <c r="W59" s="51" t="str">
        <f t="shared" si="56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 t="shared" ref="O60:W60" si="57">SUM(O3:O41)</f>
        <v>33.5</v>
      </c>
      <c r="P60" s="56">
        <f t="shared" si="57"/>
        <v>18.25</v>
      </c>
      <c r="Q60" s="56">
        <f t="shared" si="57"/>
        <v>22</v>
      </c>
      <c r="R60" s="56">
        <f t="shared" si="57"/>
        <v>25.25</v>
      </c>
      <c r="S60" s="56">
        <f t="shared" si="57"/>
        <v>0</v>
      </c>
      <c r="T60" s="56">
        <f t="shared" si="57"/>
        <v>0</v>
      </c>
      <c r="U60" s="56">
        <f t="shared" si="57"/>
        <v>0</v>
      </c>
      <c r="V60" s="56">
        <f t="shared" si="57"/>
        <v>0</v>
      </c>
      <c r="W60" s="56">
        <f t="shared" si="57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30.40625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8">IF(OR(ISBLANK(O2),O2=$X$2),"",O2)</f>
        <v>41372</v>
      </c>
      <c r="O62" s="27">
        <f t="shared" si="58"/>
        <v>41379</v>
      </c>
      <c r="P62" s="27">
        <f t="shared" si="58"/>
        <v>41386</v>
      </c>
      <c r="Q62" s="27">
        <f t="shared" si="58"/>
        <v>41393</v>
      </c>
      <c r="R62" s="27">
        <f t="shared" si="58"/>
        <v>41407</v>
      </c>
      <c r="S62" s="27">
        <f t="shared" si="58"/>
        <v>41414</v>
      </c>
      <c r="T62" s="27">
        <f t="shared" si="58"/>
        <v>41421</v>
      </c>
      <c r="U62" s="27">
        <f t="shared" si="58"/>
        <v>41428</v>
      </c>
      <c r="V62" s="27">
        <f t="shared" si="58"/>
        <v>41435</v>
      </c>
      <c r="W62" s="27" t="str">
        <f t="shared" si="58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MAX(H3:H40)-MIN(G3:G40)</f>
        <v>56</v>
      </c>
      <c r="K63" s="30">
        <f>SUM(K3:K41)</f>
        <v>243.25</v>
      </c>
      <c r="L63" s="31"/>
      <c r="M63" s="32"/>
      <c r="N63" s="67">
        <v>296</v>
      </c>
      <c r="O63" s="50">
        <f t="shared" ref="O63:R63" si="59">IF(O62="","",N63)</f>
        <v>296</v>
      </c>
      <c r="P63" s="50">
        <f t="shared" si="59"/>
        <v>296</v>
      </c>
      <c r="Q63" s="50">
        <f t="shared" si="59"/>
        <v>296</v>
      </c>
      <c r="R63" s="50">
        <f t="shared" si="59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>IF(N62="","",M64+IF(ISNA(VLOOKUP(O2,$H$2:$H$41,2,FALSE)),0,SUM(IF($H$2:$K$41=O2,$K$2:$K$41))))</f>
        <v>0</v>
      </c>
      <c r="O64" s="34">
        <f t="array" ref="O64">IF(O62="","",N64+IF(ISNA(VLOOKUP(P2,$H$2:$H$41,2,FALSE)),0,SUM(IF($H$2:$K$41=P2,$K$2:$K$41))))</f>
        <v>31</v>
      </c>
      <c r="P64" s="34">
        <f t="array" ref="P64">IF(P62="","",O64+IF(ISNA(VLOOKUP(Q2,$H$2:$H$41,2,FALSE)),0,SUM(IF($H$2:$K$41=Q2,$K$2:$K$41))))</f>
        <v>41.25</v>
      </c>
      <c r="Q64" s="34">
        <f t="array" ref="Q64">IF(Q62="","",P64+IF(ISNA(VLOOKUP(R2,$H$2:$H$41,2,FALSE)),0,SUM(IF($H$2:$K$41=R2,$K$2:$K$41))))</f>
        <v>87.25</v>
      </c>
      <c r="R64" s="34">
        <f t="array" ref="R64">IF(R62="","",Q64+IF(ISNA(VLOOKUP(S2,$H$2:$H$41,2,FALSE)),0,SUM(IF($H$2:$K$41=S2,$K$2:$K$41))))</f>
        <v>113.25</v>
      </c>
      <c r="S64" s="34">
        <f t="array" ref="S64">IF(S62="","",R64+IF(ISNA(VLOOKUP(T2,$H$2:$H$41,2,FALSE)),0,SUM(IF($H$2:$K$41=T2,$K$2:$K$41))))</f>
        <v>139.25</v>
      </c>
      <c r="T64" s="34">
        <f t="array" ref="T64">IF(T62="","",S64+IF(ISNA(VLOOKUP(U2,$H$2:$H$41,2,FALSE)),0,SUM(IF($H$2:$K$41=U2,$K$2:$K$41))))</f>
        <v>167.25</v>
      </c>
      <c r="U64" s="34">
        <f t="array" ref="U64">IF(U62="","",T64+IF(ISNA(VLOOKUP(V2,$H$2:$H$41,2,FALSE)),0,SUM(IF($H$2:$K$41=V2,$K$2:$K$41))))</f>
        <v>215.25</v>
      </c>
      <c r="V64" s="34">
        <f t="array" ref="V64">IF(V62="","",U64+IF(ISNA(VLOOKUP(W2,$H$2:$H$41,2,FALSE)),0,SUM(IF($H$2:$K$41=W2,$K$2:$K$41))))</f>
        <v>215.25</v>
      </c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SUMIFS($K$3:$K$41,P3:P41,"=X")</f>
        <v>18</v>
      </c>
      <c r="P65" s="6">
        <f>SUMIFS($K$3:$K$41,Q3:Q41,"=X")</f>
        <v>41.25</v>
      </c>
      <c r="Q65" s="6">
        <f>SUMIFS($K$3:$K$41,R3:R41,"=X")</f>
        <v>61.25</v>
      </c>
      <c r="R65" s="6">
        <f>SUMIFS($K$3:$K$41,S3:S41,"=X")</f>
        <v>120.25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SUM(O3:O41)+N66</f>
        <v>33.5</v>
      </c>
      <c r="P66" s="6">
        <f>SUM(P3:P41)+O66</f>
        <v>51.75</v>
      </c>
      <c r="Q66" s="6">
        <f>SUM(Q3:Q41)+P66</f>
        <v>73.75</v>
      </c>
      <c r="R66" s="6">
        <f>SUM(R3:R41)+Q66</f>
        <v>99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99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258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357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3" priority="146" operator="greaterThan">
      <formula>#REF!</formula>
    </cfRule>
    <cfRule type="cellIs" dxfId="32" priority="147" operator="lessThan">
      <formula>#REF!</formula>
    </cfRule>
  </conditionalFormatting>
  <conditionalFormatting sqref="L56:M59 L3:M47">
    <cfRule type="cellIs" dxfId="31" priority="153" operator="greaterThan">
      <formula>G3</formula>
    </cfRule>
    <cfRule type="cellIs" dxfId="30" priority="154" operator="lessThan">
      <formula>G3</formula>
    </cfRule>
  </conditionalFormatting>
  <conditionalFormatting sqref="N56:N59 N3:N47">
    <cfRule type="cellIs" priority="157" stopIfTrue="1" operator="equal">
      <formula>0</formula>
    </cfRule>
    <cfRule type="cellIs" dxfId="29" priority="158" operator="lessThan">
      <formula>K3</formula>
    </cfRule>
    <cfRule type="cellIs" dxfId="28" priority="159" operator="greaterThan">
      <formula>K3</formula>
    </cfRule>
  </conditionalFormatting>
  <conditionalFormatting sqref="O65:W65">
    <cfRule type="cellIs" dxfId="27" priority="51" operator="greaterThan">
      <formula>0</formula>
    </cfRule>
  </conditionalFormatting>
  <conditionalFormatting sqref="O66:W66">
    <cfRule type="cellIs" dxfId="26" priority="50" operator="greaterThan">
      <formula>0</formula>
    </cfRule>
  </conditionalFormatting>
  <conditionalFormatting sqref="G56:H59 G51:H52 G49:H49 G3:H47">
    <cfRule type="expression" dxfId="25" priority="40">
      <formula>FormulaInCell</formula>
    </cfRule>
  </conditionalFormatting>
  <conditionalFormatting sqref="O3:W59">
    <cfRule type="cellIs" dxfId="24" priority="47" operator="equal">
      <formula>"X"</formula>
    </cfRule>
    <cfRule type="cellIs" dxfId="23" priority="48" operator="greaterThan">
      <formula>0</formula>
    </cfRule>
    <cfRule type="expression" dxfId="22" priority="49">
      <formula>AND(O$2&gt;=$G3,O$2&lt;$H3,ISNUMBER(O3))</formula>
    </cfRule>
    <cfRule type="expression" dxfId="21" priority="52">
      <formula>AND(O$2&gt;=$G3,O$2&lt;$H3)</formula>
    </cfRule>
    <cfRule type="expression" dxfId="20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9" priority="31" operator="lessThan">
      <formula>$K$61</formula>
    </cfRule>
    <cfRule type="cellIs" dxfId="18" priority="32" operator="greaterThan">
      <formula>$K$61</formula>
    </cfRule>
  </conditionalFormatting>
  <conditionalFormatting sqref="O63:W63">
    <cfRule type="expression" dxfId="17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6" priority="23" operator="greaterThan">
      <formula>#REF!</formula>
    </cfRule>
    <cfRule type="cellIs" dxfId="15" priority="24" operator="lessThan">
      <formula>#REF!</formula>
    </cfRule>
  </conditionalFormatting>
  <conditionalFormatting sqref="L53:M55">
    <cfRule type="cellIs" dxfId="14" priority="25" operator="greaterThan">
      <formula>G53</formula>
    </cfRule>
    <cfRule type="cellIs" dxfId="13" priority="26" operator="lessThan">
      <formula>G53</formula>
    </cfRule>
  </conditionalFormatting>
  <conditionalFormatting sqref="N48:N49 N53:N55">
    <cfRule type="cellIs" priority="27" stopIfTrue="1" operator="equal">
      <formula>0</formula>
    </cfRule>
    <cfRule type="cellIs" dxfId="12" priority="28" operator="lessThan">
      <formula>K48</formula>
    </cfRule>
    <cfRule type="cellIs" dxfId="11" priority="29" operator="greaterThan">
      <formula>K48</formula>
    </cfRule>
  </conditionalFormatting>
  <conditionalFormatting sqref="G48:H48 G53:H55">
    <cfRule type="expression" dxfId="10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9" priority="9" operator="greaterThan">
      <formula>#REF!</formula>
    </cfRule>
    <cfRule type="cellIs" dxfId="8" priority="10" operator="lessThan">
      <formula>#REF!</formula>
    </cfRule>
  </conditionalFormatting>
  <conditionalFormatting sqref="N50:N52">
    <cfRule type="cellIs" priority="13" stopIfTrue="1" operator="equal">
      <formula>0</formula>
    </cfRule>
    <cfRule type="cellIs" dxfId="7" priority="14" operator="lessThan">
      <formula>K50</formula>
    </cfRule>
    <cfRule type="cellIs" dxfId="6" priority="15" operator="greaterThan">
      <formula>K50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topLeftCell="A10"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2013-05-11T17:29:16Z</dcterms:modified>
</cp:coreProperties>
</file>