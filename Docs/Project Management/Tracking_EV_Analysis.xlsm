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N35" i="2" l="1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S45" i="2"/>
  <c r="N64" i="2" l="1" a="1"/>
  <c r="N64" i="2" s="1"/>
  <c r="O64" i="2" s="1" a="1"/>
  <c r="O64" i="2" s="1"/>
  <c r="P64" i="2" l="1" a="1"/>
  <c r="P64" i="2" s="1"/>
  <c r="Q64" i="2" s="1" a="1"/>
  <c r="Q64" i="2" s="1"/>
  <c r="R64" i="2" s="1" a="1"/>
  <c r="R64" i="2" s="1"/>
  <c r="S64" i="2" s="1" a="1"/>
  <c r="S64" i="2" s="1"/>
  <c r="T64" i="2" s="1" a="1"/>
  <c r="T64" i="2" s="1"/>
  <c r="U64" i="2" s="1" a="1"/>
  <c r="U64" i="2" s="1"/>
  <c r="R65" i="2"/>
  <c r="Q65" i="2"/>
  <c r="S60" i="2"/>
  <c r="R60" i="2"/>
  <c r="Q60" i="2"/>
  <c r="P60" i="2"/>
  <c r="O60" i="2"/>
  <c r="R66" i="2"/>
  <c r="Q66" i="2"/>
  <c r="P66" i="2"/>
  <c r="O66" i="2"/>
  <c r="O65" i="2"/>
  <c r="P65" i="2"/>
  <c r="J63" i="2"/>
  <c r="K63" i="2"/>
  <c r="R43" i="2"/>
  <c r="R10" i="2" l="1"/>
  <c r="R14" i="2" l="1"/>
  <c r="R12" i="2"/>
  <c r="R7" i="2" l="1"/>
  <c r="R11" i="2" l="1"/>
  <c r="P48" i="2"/>
  <c r="Q48" i="2" s="1"/>
  <c r="R48" i="2" s="1"/>
  <c r="S48" i="2" s="1"/>
  <c r="T48" i="2" s="1"/>
  <c r="U48" i="2" s="1"/>
  <c r="V48" i="2" s="1"/>
  <c r="W48" i="2" s="1"/>
  <c r="P49" i="2"/>
  <c r="Q49" i="2" s="1"/>
  <c r="R49" i="2" s="1"/>
  <c r="S49" i="2" s="1"/>
  <c r="T49" i="2" s="1"/>
  <c r="U49" i="2" s="1"/>
  <c r="V49" i="2" s="1"/>
  <c r="W49" i="2" s="1"/>
  <c r="P50" i="2"/>
  <c r="Q50" i="2" s="1"/>
  <c r="R50" i="2" s="1"/>
  <c r="S50" i="2" s="1"/>
  <c r="T50" i="2" s="1"/>
  <c r="U50" i="2" s="1"/>
  <c r="V50" i="2" s="1"/>
  <c r="W50" i="2" s="1"/>
  <c r="L33" i="2" a="1"/>
  <c r="L33" i="2" s="1"/>
  <c r="M33" i="2"/>
  <c r="N33" i="2"/>
  <c r="L34" i="2" a="1"/>
  <c r="L34" i="2" s="1"/>
  <c r="M34" i="2"/>
  <c r="N34" i="2"/>
  <c r="P53" i="2"/>
  <c r="Q53" i="2"/>
  <c r="R53" i="2" s="1"/>
  <c r="S53" i="2" s="1"/>
  <c r="T53" i="2" s="1"/>
  <c r="U53" i="2" s="1"/>
  <c r="V53" i="2" s="1"/>
  <c r="W53" i="2" s="1"/>
  <c r="P54" i="2"/>
  <c r="Q54" i="2" s="1"/>
  <c r="P55" i="2"/>
  <c r="Q55" i="2" s="1"/>
  <c r="R55" i="2" s="1"/>
  <c r="S55" i="2" s="1"/>
  <c r="T55" i="2" s="1"/>
  <c r="U55" i="2" s="1"/>
  <c r="V55" i="2" s="1"/>
  <c r="W55" i="2" s="1"/>
  <c r="P52" i="2"/>
  <c r="Q52" i="2" s="1"/>
  <c r="P51" i="2"/>
  <c r="Q42" i="2"/>
  <c r="P41" i="2"/>
  <c r="O40" i="2"/>
  <c r="R8" i="2"/>
  <c r="M55" i="2" l="1"/>
  <c r="R54" i="2"/>
  <c r="S54" i="2" s="1"/>
  <c r="T54" i="2" s="1"/>
  <c r="U54" i="2" s="1"/>
  <c r="V54" i="2" s="1"/>
  <c r="W54" i="2" s="1"/>
  <c r="L53" i="2" a="1"/>
  <c r="L53" i="2" s="1"/>
  <c r="L55" i="2" a="1"/>
  <c r="L55" i="2" s="1"/>
  <c r="M54" i="2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M48" i="2"/>
  <c r="Q8" i="2"/>
  <c r="M52" i="2" l="1"/>
  <c r="M49" i="2"/>
  <c r="L54" i="2" a="1"/>
  <c r="L54" i="2" s="1"/>
  <c r="L51" i="2" a="1"/>
  <c r="L51" i="2" s="1"/>
  <c r="L52" i="2" a="1"/>
  <c r="L52" i="2" s="1"/>
  <c r="M51" i="2"/>
  <c r="L50" i="2" a="1"/>
  <c r="L50" i="2" s="1"/>
  <c r="M50" i="2"/>
  <c r="L49" i="2" a="1"/>
  <c r="L49" i="2" s="1"/>
  <c r="L48" i="2" a="1"/>
  <c r="L48" i="2" s="1"/>
  <c r="P42" i="2"/>
  <c r="S42" i="2" s="1"/>
  <c r="T42" i="2" s="1"/>
  <c r="U42" i="2" s="1"/>
  <c r="V42" i="2" s="1"/>
  <c r="P43" i="2"/>
  <c r="Q43" i="2" s="1"/>
  <c r="T43" i="2" s="1"/>
  <c r="P44" i="2"/>
  <c r="P45" i="2"/>
  <c r="Q45" i="2" s="1"/>
  <c r="P46" i="2"/>
  <c r="Q46" i="2" s="1"/>
  <c r="R46" i="2" s="1"/>
  <c r="S46" i="2" s="1"/>
  <c r="T46" i="2" s="1"/>
  <c r="U46" i="2" s="1"/>
  <c r="V46" i="2" s="1"/>
  <c r="W46" i="2" s="1"/>
  <c r="P47" i="2"/>
  <c r="Q47" i="2" s="1"/>
  <c r="R47" i="2" s="1"/>
  <c r="S47" i="2" s="1"/>
  <c r="T47" i="2" s="1"/>
  <c r="U47" i="2" s="1"/>
  <c r="V47" i="2" s="1"/>
  <c r="W47" i="2" s="1"/>
  <c r="P56" i="2"/>
  <c r="P57" i="2"/>
  <c r="Q57" i="2" s="1"/>
  <c r="P58" i="2"/>
  <c r="Q58" i="2" s="1"/>
  <c r="R58" i="2" s="1"/>
  <c r="S58" i="2" s="1"/>
  <c r="T58" i="2" s="1"/>
  <c r="U58" i="2" s="1"/>
  <c r="V58" i="2" s="1"/>
  <c r="W58" i="2" s="1"/>
  <c r="P59" i="2"/>
  <c r="U43" i="2" l="1"/>
  <c r="Q59" i="2"/>
  <c r="R59" i="2" s="1"/>
  <c r="S59" i="2" s="1"/>
  <c r="T59" i="2" s="1"/>
  <c r="U59" i="2" s="1"/>
  <c r="V59" i="2" s="1"/>
  <c r="W59" i="2" s="1"/>
  <c r="M47" i="2"/>
  <c r="L58" i="2" a="1"/>
  <c r="L58" i="2" s="1"/>
  <c r="R57" i="2"/>
  <c r="S57" i="2" s="1"/>
  <c r="T57" i="2" s="1"/>
  <c r="U57" i="2" s="1"/>
  <c r="V57" i="2" s="1"/>
  <c r="W57" i="2" s="1"/>
  <c r="R45" i="2"/>
  <c r="T45" i="2" s="1"/>
  <c r="U45" i="2" s="1"/>
  <c r="V45" i="2" s="1"/>
  <c r="W45" i="2" s="1"/>
  <c r="M58" i="2"/>
  <c r="M46" i="2"/>
  <c r="Q56" i="2"/>
  <c r="Q44" i="2"/>
  <c r="O71" i="2"/>
  <c r="M7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V43" i="2" l="1"/>
  <c r="L47" i="2" a="1"/>
  <c r="L47" i="2" s="1"/>
  <c r="M59" i="2"/>
  <c r="L59" i="2" a="1"/>
  <c r="L59" i="2" s="1"/>
  <c r="L57" i="2" a="1"/>
  <c r="L57" i="2" s="1"/>
  <c r="R44" i="2"/>
  <c r="R56" i="2"/>
  <c r="M57" i="2"/>
  <c r="M45" i="2"/>
  <c r="N7" i="2"/>
  <c r="Q3" i="2"/>
  <c r="N4" i="2"/>
  <c r="N5" i="2"/>
  <c r="N6" i="2"/>
  <c r="N8" i="2"/>
  <c r="N9" i="2"/>
  <c r="N10" i="2"/>
  <c r="N11" i="2"/>
  <c r="L9" i="2" a="1"/>
  <c r="L9" i="2" s="1"/>
  <c r="W43" i="2" l="1"/>
  <c r="W60" i="2" s="1"/>
  <c r="S44" i="2"/>
  <c r="T44" i="2" s="1"/>
  <c r="U44" i="2" s="1"/>
  <c r="V44" i="2" s="1"/>
  <c r="W44" i="2" s="1"/>
  <c r="S56" i="2"/>
  <c r="R3" i="2"/>
  <c r="S3" i="2" s="1"/>
  <c r="W62" i="2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Q39" i="2" s="1"/>
  <c r="R39" i="2" s="1"/>
  <c r="S39" i="2" s="1"/>
  <c r="T39" i="2" s="1"/>
  <c r="U39" i="2" s="1"/>
  <c r="V39" i="2" s="1"/>
  <c r="O77" i="2"/>
  <c r="P77" i="2"/>
  <c r="Q77" i="2"/>
  <c r="R77" i="2"/>
  <c r="S77" i="2"/>
  <c r="T77" i="2"/>
  <c r="U77" i="2"/>
  <c r="V77" i="2"/>
  <c r="W77" i="2"/>
  <c r="U12" i="2" l="1"/>
  <c r="T60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M15" i="2" s="1"/>
  <c r="Q38" i="2"/>
  <c r="R38" i="2" s="1"/>
  <c r="S38" i="2" s="1"/>
  <c r="T38" i="2" s="1"/>
  <c r="U38" i="2" s="1"/>
  <c r="V38" i="2" s="1"/>
  <c r="W38" i="2" s="1"/>
  <c r="S31" i="2"/>
  <c r="T31" i="2" s="1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T14" i="2"/>
  <c r="T3" i="2"/>
  <c r="W39" i="2"/>
  <c r="M39" i="2" s="1"/>
  <c r="N77" i="2"/>
  <c r="R41" i="2"/>
  <c r="V12" i="2" l="1"/>
  <c r="V60" i="2" s="1"/>
  <c r="U60" i="2"/>
  <c r="L35" i="2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V56" i="2" l="1"/>
  <c r="W56" i="2" s="1"/>
  <c r="V14" i="2"/>
  <c r="V3" i="2"/>
  <c r="M56" i="2" l="1"/>
  <c r="L56" i="2" a="1"/>
  <c r="L56" i="2" s="1"/>
  <c r="W14" i="2"/>
  <c r="M14" i="2" s="1"/>
  <c r="N3" i="2"/>
  <c r="O70" i="2"/>
  <c r="O76" i="2"/>
  <c r="Q40" i="2" l="1"/>
  <c r="Q76" i="2"/>
  <c r="P70" i="2"/>
  <c r="O78" i="2"/>
  <c r="N13" i="2"/>
  <c r="N32" i="2"/>
  <c r="N15" i="2"/>
  <c r="P71" i="2"/>
  <c r="P76" i="2"/>
  <c r="Q70" i="2" l="1"/>
  <c r="R40" i="2"/>
  <c r="P78" i="2"/>
  <c r="R76" i="2"/>
  <c r="Q71" i="2"/>
  <c r="R70" i="2"/>
  <c r="N16" i="2"/>
  <c r="Q78" i="2" l="1"/>
  <c r="S40" i="2"/>
  <c r="S76" i="2"/>
  <c r="R71" i="2"/>
  <c r="R78" i="2" s="1"/>
  <c r="S70" i="2" l="1"/>
  <c r="T40" i="2"/>
  <c r="S71" i="2"/>
  <c r="T76" i="2"/>
  <c r="S78" i="2" l="1"/>
  <c r="T70" i="2"/>
  <c r="U40" i="2"/>
  <c r="U70" i="2"/>
  <c r="U76" i="2"/>
  <c r="T71" i="2"/>
  <c r="T78" i="2" l="1"/>
  <c r="V40" i="2"/>
  <c r="V76" i="2"/>
  <c r="U71" i="2"/>
  <c r="U78" i="2" s="1"/>
  <c r="V70" i="2" l="1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P63" i="2" s="1"/>
  <c r="L16" i="2" a="1"/>
  <c r="L16" i="2" s="1"/>
  <c r="Q69" i="2"/>
  <c r="M9" i="2" l="1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13" i="2" l="1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S62" i="2" l="1"/>
  <c r="S63" i="2" s="1"/>
  <c r="T69" i="2"/>
  <c r="U2" i="2"/>
  <c r="T62" i="2" l="1"/>
  <c r="T63" i="2" s="1"/>
  <c r="V2" i="2"/>
  <c r="L15" i="2" a="1"/>
  <c r="L15" i="2" s="1"/>
  <c r="U69" i="2"/>
  <c r="W2" i="2" l="1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<sst xmlns="http://schemas.openxmlformats.org/spreadsheetml/2006/main" count="249" uniqueCount="131">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</sst>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87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229152"/>
        <c:axId val="102229712"/>
      </c:lineChart>
      <c:catAx>
        <c:axId val="102229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02229712"/>
        <c:crosses val="autoZero"/>
        <c:auto val="0"/>
        <c:lblAlgn val="ctr"/>
        <c:lblOffset val="100"/>
        <c:noMultiLvlLbl val="0"/>
      </c:catAx>
      <c:valAx>
        <c:axId val="1022297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22291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H36" activePane="bottomRight" state="frozen"/>
      <selection pane="topRight" activeCell="F1" sqref="F1"/>
      <selection pane="bottomLeft" activeCell="A3" sqref="A3"/>
      <selection pane="bottomRight" activeCell="S7" sqref="S7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26.75</v>
      </c>
      <c r="O7" s="51">
        <v>10</v>
      </c>
      <c r="P7" s="51">
        <v>8</v>
      </c>
      <c r="Q7" s="51">
        <v>0.5</v>
      </c>
      <c r="R7" s="51">
        <f>4.75+3.5</f>
        <v>8.25</v>
      </c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ref="N37:N59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8"/>
        <v>1.5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</f>
        <v>1.5</v>
      </c>
      <c r="T45" s="51" t="str">
        <f t="shared" si="23"/>
        <v xml:space="preserve"> </v>
      </c>
      <c r="U45" s="51" t="str">
        <f t="shared" si="23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107</v>
      </c>
      <c r="G48" s="45">
        <v>41407</v>
      </c>
      <c r="H48" s="45">
        <v>41414</v>
      </c>
      <c r="I48" s="43"/>
      <c r="J48" s="43"/>
      <c r="K48" s="3">
        <v>1</v>
      </c>
      <c r="L48" s="55" t="str">
        <f t="array" ref="L48">IF(ISNA(INDEX($O$2:$DA$2,1,MATCH(1,IF($O48:$DM48,1),0))),"",INDEX($O$2:$DA$2,1,MATCH(1,IF($O48:$DM48,1),0)))</f>
        <v/>
      </c>
      <c r="M48" s="55" t="str">
        <f t="shared" ref="M48:M52" si="29">IF(ISNA(MATCH("X",O48:W48,0)),"",INDEX($O$2:$X$2,1,MATCH("X",O48:W48,0)-1))</f>
        <v/>
      </c>
      <c r="N48" s="56">
        <f t="shared" si="14"/>
        <v>0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 t="str">
        <f t="shared" si="23"/>
        <v xml:space="preserve"> </v>
      </c>
      <c r="T48" s="51" t="str">
        <f t="shared" si="23"/>
        <v xml:space="preserve"> </v>
      </c>
      <c r="U48" s="51" t="str">
        <f t="shared" si="23"/>
        <v xml:space="preserve"> </v>
      </c>
      <c r="V48" s="51" t="str">
        <f t="shared" si="23"/>
        <v xml:space="preserve"> </v>
      </c>
      <c r="W48" s="51" t="str">
        <f t="shared" si="27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1.5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117.75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395.5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35" priority="146" operator="greaterThan">
      <formula>#REF!</formula>
    </cfRule>
    <cfRule type="cellIs" dxfId="34" priority="147" operator="lessThan">
      <formula>#REF!</formula>
    </cfRule>
  </conditionalFormatting>
  <conditionalFormatting sqref="L56:M59 L3:M47">
    <cfRule type="cellIs" dxfId="33" priority="153" operator="greaterThan">
      <formula>G3</formula>
    </cfRule>
    <cfRule type="cellIs" dxfId="32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31" priority="158" operator="lessThan">
      <formula>K3</formula>
    </cfRule>
    <cfRule type="cellIs" dxfId="30" priority="159" operator="greaterThan">
      <formula>K3</formula>
    </cfRule>
  </conditionalFormatting>
  <conditionalFormatting sqref="O65:W65">
    <cfRule type="cellIs" dxfId="29" priority="51" operator="greaterThan">
      <formula>0</formula>
    </cfRule>
  </conditionalFormatting>
  <conditionalFormatting sqref="O66:W66">
    <cfRule type="cellIs" dxfId="28" priority="50" operator="greaterThan">
      <formula>0</formula>
    </cfRule>
  </conditionalFormatting>
  <conditionalFormatting sqref="G56:H59 G51:H52 G49:H49 G3:H47">
    <cfRule type="expression" dxfId="27" priority="40">
      <formula>FormulaInCell</formula>
    </cfRule>
  </conditionalFormatting>
  <conditionalFormatting sqref="O3:W59">
    <cfRule type="cellIs" dxfId="26" priority="47" operator="equal">
      <formula>"X"</formula>
    </cfRule>
    <cfRule type="cellIs" dxfId="25" priority="48" operator="greaterThan">
      <formula>0</formula>
    </cfRule>
    <cfRule type="expression" dxfId="24" priority="49">
      <formula>AND(O$2&gt;=$G3,O$2&lt;$H3,ISNUMBER(O3))</formula>
    </cfRule>
    <cfRule type="expression" dxfId="23" priority="52">
      <formula>AND(O$2&gt;=$G3,O$2&lt;$H3)</formula>
    </cfRule>
    <cfRule type="expression" dxfId="22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21" priority="31" operator="lessThan">
      <formula>$K$61</formula>
    </cfRule>
    <cfRule type="cellIs" dxfId="20" priority="32" operator="greaterThan">
      <formula>$K$61</formula>
    </cfRule>
  </conditionalFormatting>
  <conditionalFormatting sqref="O63:W63">
    <cfRule type="expression" dxfId="19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8" priority="23" operator="greaterThan">
      <formula>#REF!</formula>
    </cfRule>
    <cfRule type="cellIs" dxfId="17" priority="24" operator="lessThan">
      <formula>#REF!</formula>
    </cfRule>
  </conditionalFormatting>
  <conditionalFormatting sqref="L53:M55">
    <cfRule type="cellIs" dxfId="16" priority="25" operator="greaterThan">
      <formula>G53</formula>
    </cfRule>
    <cfRule type="cellIs" dxfId="15" priority="26" operator="lessThan">
      <formula>G53</formula>
    </cfRule>
  </conditionalFormatting>
  <conditionalFormatting sqref="G48:H48 G53:H55">
    <cfRule type="expression" dxfId="12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11" priority="9" operator="greaterThan">
      <formula>#REF!</formula>
    </cfRule>
    <cfRule type="cellIs" dxfId="10" priority="10" operator="lessThan">
      <formula>#REF!</formula>
    </cfRule>
  </conditionalFormatting>
  <conditionalFormatting sqref="O69:W69 O2:W2 N62:W62">
    <cfRule type="expression" dxfId="7" priority="223">
      <formula>N2&gt;MAX($H$3:$H$41)</formula>
    </cfRule>
  </conditionalFormatting>
  <conditionalFormatting sqref="L48:M49">
    <cfRule type="cellIs" dxfId="6" priority="244" operator="greaterThan">
      <formula>#REF!</formula>
    </cfRule>
    <cfRule type="cellIs" dxfId="5" priority="245" operator="lessThan">
      <formula>#REF!</formula>
    </cfRule>
  </conditionalFormatting>
  <conditionalFormatting sqref="L50:M52">
    <cfRule type="cellIs" dxfId="4" priority="246" operator="greaterThan">
      <formula>G49</formula>
    </cfRule>
    <cfRule type="cellIs" dxfId="3" priority="247" operator="lessThan">
      <formula>G49</formula>
    </cfRule>
  </conditionalFormatting>
  <conditionalFormatting sqref="G50:H50">
    <cfRule type="expression" dxfId="2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2013-05-18T09:37:39Z</dcterms:modified>
</cp:coreProperties>
</file>