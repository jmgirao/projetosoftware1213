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N64" i="2" l="1"/>
  <c r="O64" i="2" s="1" a="1"/>
  <c r="O64" i="2" s="1"/>
  <c r="P64" i="2" s="1" a="1"/>
  <c r="P64" i="2" s="1"/>
  <c r="Q64" i="2" s="1" a="1"/>
  <c r="Q64" i="2" s="1"/>
  <c r="R64" i="2" s="1" a="1"/>
  <c r="R64" i="2" s="1"/>
  <c r="S64" i="2" s="1" a="1"/>
  <c r="S64" i="2" s="1"/>
  <c r="T64" i="2" s="1" a="1"/>
  <c r="T64" i="2" s="1"/>
  <c r="U64" i="2" s="1" a="1"/>
  <c r="U64" i="2" s="1"/>
  <c r="R65" i="2"/>
  <c r="Q65" i="2"/>
  <c r="S60" i="2"/>
  <c r="R60" i="2"/>
  <c r="Q60" i="2"/>
  <c r="P60" i="2"/>
  <c r="O60" i="2"/>
  <c r="R66" i="2"/>
  <c r="Q66" i="2"/>
  <c r="P66" i="2"/>
  <c r="O66" i="2"/>
  <c r="O65" i="2"/>
  <c r="P65" i="2"/>
  <c r="J63" i="2"/>
  <c r="K63" i="2"/>
  <c r="R43" i="2"/>
  <c r="R10" i="2" l="1"/>
  <c r="R14" i="2" l="1"/>
  <c r="R12" i="2"/>
  <c r="R7" i="2" l="1"/>
  <c r="R11" i="2" l="1"/>
  <c r="P48" i="2"/>
  <c r="Q48" i="2" s="1"/>
  <c r="R48" i="2" s="1"/>
  <c r="S48" i="2" s="1"/>
  <c r="T48" i="2" s="1"/>
  <c r="U48" i="2" s="1"/>
  <c r="V48" i="2" s="1"/>
  <c r="W48" i="2" s="1"/>
  <c r="P49" i="2"/>
  <c r="Q49" i="2" s="1"/>
  <c r="R49" i="2" s="1"/>
  <c r="S49" i="2" s="1"/>
  <c r="T49" i="2" s="1"/>
  <c r="U49" i="2" s="1"/>
  <c r="V49" i="2" s="1"/>
  <c r="W49" i="2" s="1"/>
  <c r="P50" i="2"/>
  <c r="Q50" i="2" s="1"/>
  <c r="R50" i="2" s="1"/>
  <c r="S50" i="2" s="1"/>
  <c r="T50" i="2" s="1"/>
  <c r="U50" i="2" s="1"/>
  <c r="V50" i="2" s="1"/>
  <c r="W50" i="2" s="1"/>
  <c r="L33" i="2" a="1"/>
  <c r="L33" i="2" s="1"/>
  <c r="M33" i="2"/>
  <c r="N33" i="2"/>
  <c r="L34" i="2" a="1"/>
  <c r="L34" i="2" s="1"/>
  <c r="M34" i="2"/>
  <c r="N34" i="2"/>
  <c r="P53" i="2"/>
  <c r="Q53" i="2"/>
  <c r="R53" i="2" s="1"/>
  <c r="S53" i="2" s="1"/>
  <c r="T53" i="2" s="1"/>
  <c r="U53" i="2" s="1"/>
  <c r="V53" i="2" s="1"/>
  <c r="W53" i="2" s="1"/>
  <c r="P54" i="2"/>
  <c r="Q54" i="2" s="1"/>
  <c r="P55" i="2"/>
  <c r="Q55" i="2" s="1"/>
  <c r="R55" i="2" s="1"/>
  <c r="S55" i="2" s="1"/>
  <c r="T55" i="2" s="1"/>
  <c r="U55" i="2" s="1"/>
  <c r="V55" i="2" s="1"/>
  <c r="W55" i="2" s="1"/>
  <c r="P52" i="2"/>
  <c r="Q52" i="2" s="1"/>
  <c r="P51" i="2"/>
  <c r="Q42" i="2"/>
  <c r="P41" i="2"/>
  <c r="O40" i="2"/>
  <c r="R8" i="2"/>
  <c r="M55" i="2" l="1"/>
  <c r="R54" i="2"/>
  <c r="S54" i="2" s="1"/>
  <c r="T54" i="2" s="1"/>
  <c r="U54" i="2" s="1"/>
  <c r="V54" i="2" s="1"/>
  <c r="W54" i="2" s="1"/>
  <c r="L53" i="2" a="1"/>
  <c r="L53" i="2" s="1"/>
  <c r="L55" i="2" a="1"/>
  <c r="L55" i="2" s="1"/>
  <c r="N54" i="2"/>
  <c r="M54" i="2"/>
  <c r="N55" i="2"/>
  <c r="N53" i="2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M48" i="2"/>
  <c r="Q8" i="2"/>
  <c r="M52" i="2" l="1"/>
  <c r="M49" i="2"/>
  <c r="L54" i="2" a="1"/>
  <c r="L54" i="2" s="1"/>
  <c r="L51" i="2" a="1"/>
  <c r="L51" i="2" s="1"/>
  <c r="N52" i="2"/>
  <c r="L52" i="2" a="1"/>
  <c r="L52" i="2" s="1"/>
  <c r="N50" i="2"/>
  <c r="N51" i="2"/>
  <c r="M51" i="2"/>
  <c r="L50" i="2" a="1"/>
  <c r="L50" i="2" s="1"/>
  <c r="M50" i="2"/>
  <c r="L49" i="2" a="1"/>
  <c r="L49" i="2" s="1"/>
  <c r="N48" i="2"/>
  <c r="N49" i="2"/>
  <c r="L48" i="2" a="1"/>
  <c r="L48" i="2" s="1"/>
  <c r="P42" i="2"/>
  <c r="S42" i="2" s="1"/>
  <c r="T42" i="2" s="1"/>
  <c r="U42" i="2" s="1"/>
  <c r="V42" i="2" s="1"/>
  <c r="P43" i="2"/>
  <c r="Q43" i="2" s="1"/>
  <c r="T43" i="2" s="1"/>
  <c r="P44" i="2"/>
  <c r="P45" i="2"/>
  <c r="Q45" i="2" s="1"/>
  <c r="P46" i="2"/>
  <c r="Q46" i="2" s="1"/>
  <c r="R46" i="2" s="1"/>
  <c r="S46" i="2" s="1"/>
  <c r="T46" i="2" s="1"/>
  <c r="U46" i="2" s="1"/>
  <c r="V46" i="2" s="1"/>
  <c r="W46" i="2" s="1"/>
  <c r="P47" i="2"/>
  <c r="Q47" i="2" s="1"/>
  <c r="R47" i="2" s="1"/>
  <c r="S47" i="2" s="1"/>
  <c r="T47" i="2" s="1"/>
  <c r="U47" i="2" s="1"/>
  <c r="V47" i="2" s="1"/>
  <c r="W47" i="2" s="1"/>
  <c r="P56" i="2"/>
  <c r="P57" i="2"/>
  <c r="Q57" i="2" s="1"/>
  <c r="P58" i="2"/>
  <c r="Q58" i="2" s="1"/>
  <c r="R58" i="2" s="1"/>
  <c r="S58" i="2" s="1"/>
  <c r="T58" i="2" s="1"/>
  <c r="U58" i="2" s="1"/>
  <c r="V58" i="2" s="1"/>
  <c r="W58" i="2" s="1"/>
  <c r="P59" i="2"/>
  <c r="U43" i="2" l="1"/>
  <c r="Q59" i="2"/>
  <c r="R59" i="2" s="1"/>
  <c r="S59" i="2" s="1"/>
  <c r="T59" i="2" s="1"/>
  <c r="U59" i="2" s="1"/>
  <c r="V59" i="2" s="1"/>
  <c r="W59" i="2" s="1"/>
  <c r="M47" i="2"/>
  <c r="L58" i="2" a="1"/>
  <c r="L58" i="2" s="1"/>
  <c r="R57" i="2"/>
  <c r="S57" i="2" s="1"/>
  <c r="T57" i="2" s="1"/>
  <c r="U57" i="2" s="1"/>
  <c r="V57" i="2" s="1"/>
  <c r="W57" i="2" s="1"/>
  <c r="R45" i="2"/>
  <c r="S45" i="2" s="1"/>
  <c r="T45" i="2" s="1"/>
  <c r="U45" i="2" s="1"/>
  <c r="V45" i="2" s="1"/>
  <c r="W45" i="2" s="1"/>
  <c r="N58" i="2"/>
  <c r="M58" i="2"/>
  <c r="M46" i="2"/>
  <c r="Q56" i="2"/>
  <c r="Q44" i="2"/>
  <c r="O71" i="2"/>
  <c r="M7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V43" i="2" l="1"/>
  <c r="N47" i="2"/>
  <c r="N59" i="2"/>
  <c r="N57" i="2"/>
  <c r="L47" i="2" a="1"/>
  <c r="L47" i="2" s="1"/>
  <c r="M59" i="2"/>
  <c r="L59" i="2" a="1"/>
  <c r="L59" i="2" s="1"/>
  <c r="L57" i="2" a="1"/>
  <c r="L57" i="2" s="1"/>
  <c r="R44" i="2"/>
  <c r="R56" i="2"/>
  <c r="M57" i="2"/>
  <c r="M45" i="2"/>
  <c r="N7" i="2"/>
  <c r="Q3" i="2"/>
  <c r="N4" i="2"/>
  <c r="N5" i="2"/>
  <c r="N6" i="2"/>
  <c r="N8" i="2"/>
  <c r="N9" i="2"/>
  <c r="N10" i="2"/>
  <c r="N11" i="2"/>
  <c r="L9" i="2" a="1"/>
  <c r="L9" i="2" s="1"/>
  <c r="W43" i="2" l="1"/>
  <c r="W60" i="2" s="1"/>
  <c r="S44" i="2"/>
  <c r="T44" i="2" s="1"/>
  <c r="U44" i="2" s="1"/>
  <c r="V44" i="2" s="1"/>
  <c r="W44" i="2" s="1"/>
  <c r="N44" i="2"/>
  <c r="S56" i="2"/>
  <c r="R3" i="2"/>
  <c r="S3" i="2" s="1"/>
  <c r="W62" i="2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Q39" i="2" s="1"/>
  <c r="R39" i="2" s="1"/>
  <c r="S39" i="2" s="1"/>
  <c r="T39" i="2" s="1"/>
  <c r="U39" i="2" s="1"/>
  <c r="V39" i="2" s="1"/>
  <c r="O77" i="2"/>
  <c r="P77" i="2"/>
  <c r="Q77" i="2"/>
  <c r="R77" i="2"/>
  <c r="S77" i="2"/>
  <c r="T77" i="2"/>
  <c r="U77" i="2"/>
  <c r="V77" i="2"/>
  <c r="W77" i="2"/>
  <c r="U12" i="2" l="1"/>
  <c r="T60" i="2"/>
  <c r="N45" i="2"/>
  <c r="M44" i="2"/>
  <c r="L46" i="2" a="1"/>
  <c r="L46" i="2" s="1"/>
  <c r="N46" i="2"/>
  <c r="T56" i="2"/>
  <c r="Q32" i="2"/>
  <c r="R32" i="2" s="1"/>
  <c r="S32" i="2" s="1"/>
  <c r="T32" i="2" s="1"/>
  <c r="U32" i="2" s="1"/>
  <c r="V32" i="2" s="1"/>
  <c r="W32" i="2" s="1"/>
  <c r="M16" i="2"/>
  <c r="Q15" i="2"/>
  <c r="M15" i="2" s="1"/>
  <c r="Q38" i="2"/>
  <c r="R38" i="2" s="1"/>
  <c r="S38" i="2" s="1"/>
  <c r="T38" i="2" s="1"/>
  <c r="U38" i="2" s="1"/>
  <c r="V38" i="2" s="1"/>
  <c r="W38" i="2" s="1"/>
  <c r="S31" i="2"/>
  <c r="T31" i="2" s="1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T14" i="2"/>
  <c r="T3" i="2"/>
  <c r="W39" i="2"/>
  <c r="M39" i="2" s="1"/>
  <c r="N77" i="2"/>
  <c r="R41" i="2"/>
  <c r="V12" i="2" l="1"/>
  <c r="V60" i="2" s="1"/>
  <c r="U60" i="2"/>
  <c r="L35" i="2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3" i="2" l="1"/>
  <c r="N41" i="2"/>
  <c r="V56" i="2"/>
  <c r="W56" i="2" s="1"/>
  <c r="N56" i="2" s="1"/>
  <c r="V14" i="2"/>
  <c r="V3" i="2"/>
  <c r="M56" i="2" l="1"/>
  <c r="L56" i="2" a="1"/>
  <c r="L56" i="2" s="1"/>
  <c r="W14" i="2"/>
  <c r="M14" i="2" s="1"/>
  <c r="N3" i="2"/>
  <c r="O70" i="2"/>
  <c r="O76" i="2"/>
  <c r="Q40" i="2" l="1"/>
  <c r="Q76" i="2"/>
  <c r="P70" i="2"/>
  <c r="O78" i="2"/>
  <c r="N13" i="2"/>
  <c r="N37" i="2"/>
  <c r="N35" i="2"/>
  <c r="N32" i="2"/>
  <c r="N15" i="2"/>
  <c r="P71" i="2"/>
  <c r="P76" i="2"/>
  <c r="Q70" i="2" l="1"/>
  <c r="R40" i="2"/>
  <c r="P78" i="2"/>
  <c r="R76" i="2"/>
  <c r="N36" i="2"/>
  <c r="N39" i="2"/>
  <c r="Q71" i="2"/>
  <c r="R70" i="2"/>
  <c r="N16" i="2"/>
  <c r="N38" i="2"/>
  <c r="Q78" i="2" l="1"/>
  <c r="S40" i="2"/>
  <c r="S76" i="2"/>
  <c r="R71" i="2"/>
  <c r="R78" i="2" s="1"/>
  <c r="S70" i="2" l="1"/>
  <c r="T40" i="2"/>
  <c r="S71" i="2"/>
  <c r="T76" i="2"/>
  <c r="S78" i="2" l="1"/>
  <c r="T70" i="2"/>
  <c r="U40" i="2"/>
  <c r="U70" i="2"/>
  <c r="U76" i="2"/>
  <c r="T71" i="2"/>
  <c r="T78" i="2" l="1"/>
  <c r="V40" i="2"/>
  <c r="V76" i="2"/>
  <c r="U71" i="2"/>
  <c r="U78" i="2" s="1"/>
  <c r="V70" i="2" l="1"/>
  <c r="N14" i="2"/>
  <c r="V71" i="2"/>
  <c r="N42" i="2" l="1"/>
  <c r="L40" i="2" a="1"/>
  <c r="L40" i="2" s="1"/>
  <c r="M40" i="2"/>
  <c r="V78" i="2"/>
  <c r="W70" i="2"/>
  <c r="N4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P63" i="2" s="1"/>
  <c r="L16" i="2" a="1"/>
  <c r="L16" i="2" s="1"/>
  <c r="Q69" i="2"/>
  <c r="M9" i="2" l="1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13" i="2" l="1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S62" i="2" l="1"/>
  <c r="S63" i="2" s="1"/>
  <c r="T69" i="2"/>
  <c r="U2" i="2"/>
  <c r="T62" i="2" l="1"/>
  <c r="T63" i="2" s="1"/>
  <c r="V2" i="2"/>
  <c r="L15" i="2" a="1"/>
  <c r="L15" i="2" s="1"/>
  <c r="U69" i="2"/>
  <c r="W2" i="2" l="1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<sst xmlns="http://schemas.openxmlformats.org/spreadsheetml/2006/main" count="248" uniqueCount="131">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</sst>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87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92.25</c:v>
                </c:pt>
                <c:pt idx="4">
                  <c:v>118.25</c:v>
                </c:pt>
                <c:pt idx="5">
                  <c:v>148.75</c:v>
                </c:pt>
                <c:pt idx="6">
                  <c:v>181.25</c:v>
                </c:pt>
                <c:pt idx="7">
                  <c:v>233.75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285904"/>
        <c:axId val="183286464"/>
      </c:lineChart>
      <c:catAx>
        <c:axId val="183285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3286464"/>
        <c:crosses val="autoZero"/>
        <c:auto val="0"/>
        <c:lblAlgn val="ctr"/>
        <c:lblOffset val="100"/>
        <c:noMultiLvlLbl val="0"/>
      </c:catAx>
      <c:valAx>
        <c:axId val="1832864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3285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H48" activePane="bottomRight" state="frozen"/>
      <selection pane="topRight" activeCell="F1" sqref="F1"/>
      <selection pane="bottomLeft" activeCell="A3" sqref="A3"/>
      <selection pane="bottomRight" activeCell="R65" sqref="R65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26.75</v>
      </c>
      <c r="O7" s="51">
        <v>10</v>
      </c>
      <c r="P7" s="51">
        <v>8</v>
      </c>
      <c r="Q7" s="51">
        <v>0.5</v>
      </c>
      <c r="R7" s="51">
        <f>4.75+3.5</f>
        <v>8.25</v>
      </c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41400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41400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T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47" si="14">SUM(O33:CG33)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si="14"/>
        <v>0</v>
      </c>
      <c r="O37" s="51"/>
      <c r="P37" s="51" t="str">
        <f t="shared" ref="P37:R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4"/>
        <v>0</v>
      </c>
      <c r="O38" s="51"/>
      <c r="P38" s="51" t="str">
        <f t="shared" ref="P38:R38" si="19">IF(ISNUMBER(O38)," ",IF(O38="X","X"," "))</f>
        <v xml:space="preserve"> </v>
      </c>
      <c r="Q38" s="51" t="str">
        <f t="shared" si="19"/>
        <v xml:space="preserve"> </v>
      </c>
      <c r="R38" s="51" t="str">
        <f t="shared" si="19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0">IF(ISNUMBER(O39)," ",IF(O39="X","X"," "))</f>
        <v xml:space="preserve"> </v>
      </c>
      <c r="Q39" s="51" t="str">
        <f t="shared" si="20"/>
        <v xml:space="preserve"> </v>
      </c>
      <c r="R39" s="51" t="str">
        <f t="shared" si="20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0</v>
      </c>
      <c r="O40" s="51">
        <f>1+0.75</f>
        <v>1.75</v>
      </c>
      <c r="P40" s="51" t="s">
        <v>113</v>
      </c>
      <c r="Q40" s="51" t="str">
        <f t="shared" ref="Q40:R40" si="21">IF(ISNUMBER(P40)," ",IF(P40="X","X"," "))</f>
        <v>X</v>
      </c>
      <c r="R40" s="51" t="str">
        <f t="shared" si="21"/>
        <v>X</v>
      </c>
      <c r="S40" s="51" t="str">
        <f t="shared" ref="S40:V50" si="22">IF(ISNUMBER(R40)," ",IF(R40="X","X"," "))</f>
        <v>X</v>
      </c>
      <c r="T40" s="51" t="str">
        <f t="shared" si="22"/>
        <v>X</v>
      </c>
      <c r="U40" s="51" t="str">
        <f t="shared" si="22"/>
        <v>X</v>
      </c>
      <c r="V40" s="51" t="str">
        <f t="shared" si="22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4"/>
        <v>0</v>
      </c>
      <c r="O41" s="51"/>
      <c r="P41" s="51">
        <f>0.25+0.5+0.75+0.25</f>
        <v>1.75</v>
      </c>
      <c r="Q41" s="51" t="s">
        <v>113</v>
      </c>
      <c r="R41" s="51" t="str">
        <f t="shared" ref="R41" si="23">IF(ISNUMBER(Q41)," ",IF(Q41="X","X"," "))</f>
        <v>X</v>
      </c>
      <c r="S41" s="51" t="str">
        <f t="shared" si="22"/>
        <v>X</v>
      </c>
      <c r="T41" s="51" t="str">
        <f t="shared" si="22"/>
        <v>X</v>
      </c>
      <c r="U41" s="51" t="str">
        <f t="shared" si="22"/>
        <v>X</v>
      </c>
      <c r="V41" s="51" t="str">
        <f t="shared" si="22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4"/>
        <v>1.75</v>
      </c>
      <c r="O42" s="51"/>
      <c r="P42" s="51" t="str">
        <f t="shared" ref="P42" si="24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2"/>
        <v>X</v>
      </c>
      <c r="T42" s="51" t="str">
        <f t="shared" si="22"/>
        <v>X</v>
      </c>
      <c r="U42" s="51" t="str">
        <f t="shared" si="22"/>
        <v>X</v>
      </c>
      <c r="V42" s="51" t="str">
        <f t="shared" si="22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1.75</v>
      </c>
      <c r="O43" s="51"/>
      <c r="P43" s="51" t="str">
        <f t="shared" ref="P43:Q50" si="25">IF(ISNUMBER(O43)," ",IF(O43="X","X"," "))</f>
        <v xml:space="preserve"> </v>
      </c>
      <c r="Q43" s="51" t="str">
        <f t="shared" si="25"/>
        <v xml:space="preserve"> </v>
      </c>
      <c r="R43" s="51">
        <f>0.25+0.25+0.25+1.5+0.5+0.25+0.5</f>
        <v>3.5</v>
      </c>
      <c r="S43" s="51" t="s">
        <v>112</v>
      </c>
      <c r="T43" s="51" t="str">
        <f t="shared" si="22"/>
        <v>X</v>
      </c>
      <c r="U43" s="51" t="str">
        <f t="shared" si="22"/>
        <v>X</v>
      </c>
      <c r="V43" s="51" t="str">
        <f t="shared" si="22"/>
        <v>X</v>
      </c>
      <c r="W43" s="51" t="str">
        <f t="shared" ref="W43:W50" si="26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2.5</v>
      </c>
      <c r="O44" s="51"/>
      <c r="P44" s="51" t="str">
        <f t="shared" si="25"/>
        <v xml:space="preserve"> </v>
      </c>
      <c r="Q44" s="51" t="str">
        <f t="shared" si="25"/>
        <v xml:space="preserve"> </v>
      </c>
      <c r="R44" s="51" t="str">
        <f t="shared" ref="R44:R50" si="27">IF(ISNUMBER(Q44)," ",IF(Q44="X","X"," "))</f>
        <v xml:space="preserve"> </v>
      </c>
      <c r="S44" s="51" t="str">
        <f t="shared" si="22"/>
        <v xml:space="preserve"> </v>
      </c>
      <c r="T44" s="51" t="str">
        <f t="shared" si="22"/>
        <v xml:space="preserve"> </v>
      </c>
      <c r="U44" s="51" t="str">
        <f t="shared" si="22"/>
        <v xml:space="preserve"> </v>
      </c>
      <c r="V44" s="51" t="str">
        <f t="shared" si="22"/>
        <v xml:space="preserve"> </v>
      </c>
      <c r="W44" s="51" t="str">
        <f t="shared" si="26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4"/>
        <v>3.5</v>
      </c>
      <c r="O45" s="51"/>
      <c r="P45" s="51" t="str">
        <f t="shared" si="25"/>
        <v xml:space="preserve"> </v>
      </c>
      <c r="Q45" s="51" t="str">
        <f t="shared" si="25"/>
        <v xml:space="preserve"> </v>
      </c>
      <c r="R45" s="51" t="str">
        <f t="shared" si="27"/>
        <v xml:space="preserve"> </v>
      </c>
      <c r="S45" s="51" t="str">
        <f t="shared" si="22"/>
        <v xml:space="preserve"> </v>
      </c>
      <c r="T45" s="51" t="str">
        <f t="shared" si="22"/>
        <v xml:space="preserve"> </v>
      </c>
      <c r="U45" s="51" t="str">
        <f t="shared" si="22"/>
        <v xml:space="preserve"> </v>
      </c>
      <c r="V45" s="51" t="str">
        <f t="shared" si="22"/>
        <v xml:space="preserve"> </v>
      </c>
      <c r="W45" s="51" t="str">
        <f t="shared" si="26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4"/>
        <v>0</v>
      </c>
      <c r="O46" s="51"/>
      <c r="P46" s="51" t="str">
        <f t="shared" si="25"/>
        <v xml:space="preserve"> </v>
      </c>
      <c r="Q46" s="51" t="str">
        <f t="shared" si="25"/>
        <v xml:space="preserve"> </v>
      </c>
      <c r="R46" s="51" t="str">
        <f t="shared" si="27"/>
        <v xml:space="preserve"> </v>
      </c>
      <c r="S46" s="51" t="str">
        <f t="shared" si="22"/>
        <v xml:space="preserve"> </v>
      </c>
      <c r="T46" s="51" t="str">
        <f t="shared" si="22"/>
        <v xml:space="preserve"> </v>
      </c>
      <c r="U46" s="51" t="str">
        <f t="shared" si="22"/>
        <v xml:space="preserve"> </v>
      </c>
      <c r="V46" s="51" t="str">
        <f t="shared" si="22"/>
        <v xml:space="preserve"> </v>
      </c>
      <c r="W46" s="51" t="str">
        <f t="shared" si="26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 t="str">
        <f t="array" ref="L47">IF(ISNA(INDEX($O$2:$DA$2,1,MATCH(1,IF($O45:$DM45,1),0))),"",INDEX($O$2:$DA$2,1,MATCH(1,IF($O45:$DM45,1),0)))</f>
        <v/>
      </c>
      <c r="M47" s="55" t="str">
        <f t="shared" si="13"/>
        <v/>
      </c>
      <c r="N47" s="56">
        <f t="shared" si="14"/>
        <v>0</v>
      </c>
      <c r="O47" s="51"/>
      <c r="P47" s="51" t="str">
        <f t="shared" si="25"/>
        <v xml:space="preserve"> </v>
      </c>
      <c r="Q47" s="51" t="str">
        <f t="shared" si="25"/>
        <v xml:space="preserve"> </v>
      </c>
      <c r="R47" s="51" t="str">
        <f t="shared" si="27"/>
        <v xml:space="preserve"> </v>
      </c>
      <c r="S47" s="51" t="str">
        <f t="shared" si="22"/>
        <v xml:space="preserve"> </v>
      </c>
      <c r="T47" s="51" t="str">
        <f t="shared" si="22"/>
        <v xml:space="preserve"> </v>
      </c>
      <c r="U47" s="51" t="str">
        <f t="shared" si="22"/>
        <v xml:space="preserve"> </v>
      </c>
      <c r="V47" s="51" t="str">
        <f t="shared" si="22"/>
        <v xml:space="preserve"> </v>
      </c>
      <c r="W47" s="51" t="str">
        <f t="shared" si="26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/>
      <c r="G48" s="45">
        <v>41407</v>
      </c>
      <c r="H48" s="45">
        <v>41414</v>
      </c>
      <c r="I48" s="43"/>
      <c r="J48" s="43"/>
      <c r="K48" s="3">
        <v>1</v>
      </c>
      <c r="L48" s="55" t="str">
        <f t="array" ref="L48">IF(ISNA(INDEX($O$2:$DA$2,1,MATCH(1,IF($O48:$DM48,1),0))),"",INDEX($O$2:$DA$2,1,MATCH(1,IF($O48:$DM48,1),0)))</f>
        <v/>
      </c>
      <c r="M48" s="55" t="str">
        <f t="shared" ref="M48:M52" si="28">IF(ISNA(MATCH("X",O48:W48,0)),"",INDEX($O$2:$X$2,1,MATCH("X",O48:W48,0)-1))</f>
        <v/>
      </c>
      <c r="N48" s="56">
        <f t="shared" ref="N48:N52" si="29">SUM(O48:CG48)</f>
        <v>0</v>
      </c>
      <c r="O48" s="51"/>
      <c r="P48" s="51" t="str">
        <f t="shared" si="25"/>
        <v xml:space="preserve"> </v>
      </c>
      <c r="Q48" s="51" t="str">
        <f t="shared" si="25"/>
        <v xml:space="preserve"> </v>
      </c>
      <c r="R48" s="51" t="str">
        <f t="shared" si="27"/>
        <v xml:space="preserve"> </v>
      </c>
      <c r="S48" s="51" t="str">
        <f t="shared" si="22"/>
        <v xml:space="preserve"> </v>
      </c>
      <c r="T48" s="51" t="str">
        <f t="shared" si="22"/>
        <v xml:space="preserve"> </v>
      </c>
      <c r="U48" s="51" t="str">
        <f t="shared" si="22"/>
        <v xml:space="preserve"> </v>
      </c>
      <c r="V48" s="51" t="str">
        <f t="shared" si="22"/>
        <v xml:space="preserve"> </v>
      </c>
      <c r="W48" s="51" t="str">
        <f t="shared" si="26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8"/>
        <v/>
      </c>
      <c r="N49" s="56">
        <f t="shared" si="29"/>
        <v>0</v>
      </c>
      <c r="O49" s="51"/>
      <c r="P49" s="51" t="str">
        <f t="shared" si="25"/>
        <v xml:space="preserve"> </v>
      </c>
      <c r="Q49" s="51" t="str">
        <f t="shared" si="25"/>
        <v xml:space="preserve"> </v>
      </c>
      <c r="R49" s="51" t="str">
        <f t="shared" si="27"/>
        <v xml:space="preserve"> </v>
      </c>
      <c r="S49" s="51" t="str">
        <f t="shared" si="22"/>
        <v xml:space="preserve"> </v>
      </c>
      <c r="T49" s="51" t="str">
        <f t="shared" si="22"/>
        <v xml:space="preserve"> </v>
      </c>
      <c r="U49" s="51" t="str">
        <f t="shared" si="22"/>
        <v xml:space="preserve"> </v>
      </c>
      <c r="V49" s="51" t="str">
        <f t="shared" si="22"/>
        <v xml:space="preserve"> </v>
      </c>
      <c r="W49" s="51" t="str">
        <f t="shared" si="26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8"/>
        <v/>
      </c>
      <c r="N50" s="56">
        <f t="shared" si="29"/>
        <v>0</v>
      </c>
      <c r="O50" s="51"/>
      <c r="P50" s="51" t="str">
        <f t="shared" si="25"/>
        <v xml:space="preserve"> </v>
      </c>
      <c r="Q50" s="51" t="str">
        <f t="shared" si="25"/>
        <v xml:space="preserve"> </v>
      </c>
      <c r="R50" s="51" t="str">
        <f t="shared" si="27"/>
        <v xml:space="preserve"> </v>
      </c>
      <c r="S50" s="51" t="str">
        <f t="shared" si="22"/>
        <v xml:space="preserve"> </v>
      </c>
      <c r="T50" s="51" t="str">
        <f t="shared" si="22"/>
        <v xml:space="preserve"> </v>
      </c>
      <c r="U50" s="51" t="str">
        <f t="shared" si="22"/>
        <v xml:space="preserve"> </v>
      </c>
      <c r="V50" s="51" t="str">
        <f t="shared" si="22"/>
        <v xml:space="preserve"> </v>
      </c>
      <c r="W50" s="51" t="str">
        <f t="shared" si="26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8"/>
        <v/>
      </c>
      <c r="N51" s="56">
        <f t="shared" si="29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8"/>
        <v/>
      </c>
      <c r="N52" s="56">
        <f t="shared" si="29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ref="N53:N55" si="39">SUM(O53:CG53)</f>
        <v>0</v>
      </c>
      <c r="O53" s="51"/>
      <c r="P53" s="51" t="str">
        <f t="shared" ref="P53:P55" si="40">IF(ISNUMBER(O53)," ",IF(O53="X","X"," "))</f>
        <v xml:space="preserve"> </v>
      </c>
      <c r="Q53" s="51" t="str">
        <f t="shared" ref="Q53:Q55" si="41">IF(ISNUMBER(P53)," ",IF(P53="X","X"," "))</f>
        <v xml:space="preserve"> </v>
      </c>
      <c r="R53" s="51" t="str">
        <f t="shared" ref="R53:R55" si="42">IF(ISNUMBER(Q53)," ",IF(Q53="X","X"," "))</f>
        <v xml:space="preserve"> </v>
      </c>
      <c r="S53" s="51" t="str">
        <f t="shared" ref="S53:S55" si="43">IF(ISNUMBER(R53)," ",IF(R53="X","X"," "))</f>
        <v xml:space="preserve"> </v>
      </c>
      <c r="T53" s="51" t="str">
        <f t="shared" ref="T53:T55" si="44">IF(ISNUMBER(S53)," ",IF(S53="X","X"," "))</f>
        <v xml:space="preserve"> </v>
      </c>
      <c r="U53" s="51" t="str">
        <f t="shared" ref="U53:U55" si="45">IF(ISNUMBER(T53)," ",IF(T53="X","X"," "))</f>
        <v xml:space="preserve"> </v>
      </c>
      <c r="V53" s="51" t="str">
        <f t="shared" ref="V53:V55" si="46">IF(ISNUMBER(U53)," ",IF(U53="X","X"," "))</f>
        <v xml:space="preserve"> </v>
      </c>
      <c r="W53" s="51" t="str">
        <f t="shared" ref="W53:W55" si="47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39"/>
        <v>0</v>
      </c>
      <c r="O54" s="51"/>
      <c r="P54" s="51" t="str">
        <f t="shared" si="40"/>
        <v xml:space="preserve"> </v>
      </c>
      <c r="Q54" s="51" t="str">
        <f t="shared" si="41"/>
        <v xml:space="preserve"> </v>
      </c>
      <c r="R54" s="51" t="str">
        <f t="shared" si="42"/>
        <v xml:space="preserve"> </v>
      </c>
      <c r="S54" s="51" t="str">
        <f t="shared" si="43"/>
        <v xml:space="preserve"> </v>
      </c>
      <c r="T54" s="51" t="str">
        <f t="shared" si="44"/>
        <v xml:space="preserve"> </v>
      </c>
      <c r="U54" s="51" t="str">
        <f t="shared" si="45"/>
        <v xml:space="preserve"> </v>
      </c>
      <c r="V54" s="51" t="str">
        <f t="shared" si="46"/>
        <v xml:space="preserve"> </v>
      </c>
      <c r="W54" s="51" t="str">
        <f t="shared" si="47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39"/>
        <v>0</v>
      </c>
      <c r="O55" s="51"/>
      <c r="P55" s="51" t="str">
        <f t="shared" si="40"/>
        <v xml:space="preserve"> </v>
      </c>
      <c r="Q55" s="51" t="str">
        <f t="shared" si="41"/>
        <v xml:space="preserve"> </v>
      </c>
      <c r="R55" s="51" t="str">
        <f t="shared" si="42"/>
        <v xml:space="preserve"> </v>
      </c>
      <c r="S55" s="51" t="str">
        <f t="shared" si="43"/>
        <v xml:space="preserve"> </v>
      </c>
      <c r="T55" s="51" t="str">
        <f t="shared" si="44"/>
        <v xml:space="preserve"> </v>
      </c>
      <c r="U55" s="51" t="str">
        <f t="shared" si="45"/>
        <v xml:space="preserve"> </v>
      </c>
      <c r="V55" s="51" t="str">
        <f t="shared" si="46"/>
        <v xml:space="preserve"> </v>
      </c>
      <c r="W55" s="51" t="str">
        <f t="shared" si="47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ref="N56:N59" si="48">SUM(O56:CG56)</f>
        <v>0</v>
      </c>
      <c r="O56" s="51"/>
      <c r="P56" s="51" t="str">
        <f t="shared" ref="P56:P59" si="49">IF(ISNUMBER(O56)," ",IF(O56="X","X"," "))</f>
        <v xml:space="preserve"> </v>
      </c>
      <c r="Q56" s="51" t="str">
        <f t="shared" ref="Q56:Q59" si="50">IF(ISNUMBER(P56)," ",IF(P56="X","X"," "))</f>
        <v xml:space="preserve"> </v>
      </c>
      <c r="R56" s="51" t="str">
        <f t="shared" ref="R56:R59" si="51">IF(ISNUMBER(Q56)," ",IF(Q56="X","X"," "))</f>
        <v xml:space="preserve"> </v>
      </c>
      <c r="S56" s="51" t="str">
        <f t="shared" ref="S56:S59" si="52">IF(ISNUMBER(R56)," ",IF(R56="X","X"," "))</f>
        <v xml:space="preserve"> </v>
      </c>
      <c r="T56" s="51" t="str">
        <f t="shared" ref="T56:T59" si="53">IF(ISNUMBER(S56)," ",IF(S56="X","X"," "))</f>
        <v xml:space="preserve"> </v>
      </c>
      <c r="U56" s="51" t="str">
        <f t="shared" ref="U56:U59" si="54">IF(ISNUMBER(T56)," ",IF(T56="X","X"," "))</f>
        <v xml:space="preserve"> </v>
      </c>
      <c r="V56" s="51" t="str">
        <f t="shared" ref="V56:V59" si="55">IF(ISNUMBER(U56)," ",IF(U56="X","X"," "))</f>
        <v xml:space="preserve"> </v>
      </c>
      <c r="W56" s="51" t="str">
        <f t="shared" ref="W56:W59" si="56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48"/>
        <v>0</v>
      </c>
      <c r="O57" s="51"/>
      <c r="P57" s="51" t="str">
        <f t="shared" si="49"/>
        <v xml:space="preserve"> </v>
      </c>
      <c r="Q57" s="51" t="str">
        <f t="shared" si="50"/>
        <v xml:space="preserve"> </v>
      </c>
      <c r="R57" s="51" t="str">
        <f t="shared" si="51"/>
        <v xml:space="preserve"> </v>
      </c>
      <c r="S57" s="51" t="str">
        <f t="shared" si="52"/>
        <v xml:space="preserve"> </v>
      </c>
      <c r="T57" s="51" t="str">
        <f t="shared" si="53"/>
        <v xml:space="preserve"> </v>
      </c>
      <c r="U57" s="51" t="str">
        <f t="shared" si="54"/>
        <v xml:space="preserve"> </v>
      </c>
      <c r="V57" s="51" t="str">
        <f t="shared" si="55"/>
        <v xml:space="preserve"> </v>
      </c>
      <c r="W57" s="51" t="str">
        <f t="shared" si="56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48"/>
        <v>0</v>
      </c>
      <c r="O58" s="51"/>
      <c r="P58" s="51" t="str">
        <f t="shared" si="49"/>
        <v xml:space="preserve"> </v>
      </c>
      <c r="Q58" s="51" t="str">
        <f t="shared" si="50"/>
        <v xml:space="preserve"> </v>
      </c>
      <c r="R58" s="51" t="str">
        <f t="shared" si="51"/>
        <v xml:space="preserve"> </v>
      </c>
      <c r="S58" s="51" t="str">
        <f t="shared" si="52"/>
        <v xml:space="preserve"> </v>
      </c>
      <c r="T58" s="51" t="str">
        <f t="shared" si="53"/>
        <v xml:space="preserve"> </v>
      </c>
      <c r="U58" s="51" t="str">
        <f t="shared" si="54"/>
        <v xml:space="preserve"> </v>
      </c>
      <c r="V58" s="51" t="str">
        <f t="shared" si="55"/>
        <v xml:space="preserve"> </v>
      </c>
      <c r="W58" s="51" t="str">
        <f t="shared" si="56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48"/>
        <v>0</v>
      </c>
      <c r="O59" s="51"/>
      <c r="P59" s="51" t="str">
        <f t="shared" si="49"/>
        <v xml:space="preserve"> </v>
      </c>
      <c r="Q59" s="51" t="str">
        <f t="shared" si="50"/>
        <v xml:space="preserve"> </v>
      </c>
      <c r="R59" s="51" t="str">
        <f t="shared" si="51"/>
        <v xml:space="preserve"> </v>
      </c>
      <c r="S59" s="51" t="str">
        <f t="shared" si="52"/>
        <v xml:space="preserve"> </v>
      </c>
      <c r="T59" s="51" t="str">
        <f t="shared" si="53"/>
        <v xml:space="preserve"> </v>
      </c>
      <c r="U59" s="51" t="str">
        <f t="shared" si="54"/>
        <v xml:space="preserve"> </v>
      </c>
      <c r="V59" s="51" t="str">
        <f t="shared" si="55"/>
        <v xml:space="preserve"> </v>
      </c>
      <c r="W59" s="51" t="str">
        <f t="shared" si="56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7">SUM(S3:S51)</f>
        <v>0</v>
      </c>
      <c r="T60" s="56">
        <f t="shared" si="57"/>
        <v>0</v>
      </c>
      <c r="U60" s="56">
        <f t="shared" si="57"/>
        <v>0</v>
      </c>
      <c r="V60" s="56">
        <f t="shared" si="57"/>
        <v>0</v>
      </c>
      <c r="W60" s="56">
        <f t="shared" si="57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8">IF(OR(ISBLANK(O2),O2=$X$2),"",O2)</f>
        <v>41372</v>
      </c>
      <c r="O62" s="27">
        <f t="shared" si="58"/>
        <v>41379</v>
      </c>
      <c r="P62" s="27">
        <f t="shared" si="58"/>
        <v>41386</v>
      </c>
      <c r="Q62" s="27">
        <f t="shared" si="58"/>
        <v>41393</v>
      </c>
      <c r="R62" s="27">
        <f t="shared" si="58"/>
        <v>41407</v>
      </c>
      <c r="S62" s="27">
        <f t="shared" si="58"/>
        <v>41414</v>
      </c>
      <c r="T62" s="27">
        <f t="shared" si="58"/>
        <v>41421</v>
      </c>
      <c r="U62" s="27">
        <f t="shared" si="58"/>
        <v>41428</v>
      </c>
      <c r="V62" s="27">
        <f t="shared" si="58"/>
        <v>41435</v>
      </c>
      <c r="W62" s="27" t="str">
        <f t="shared" si="58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9">IF(O62="","",N63)</f>
        <v>296</v>
      </c>
      <c r="P63" s="50">
        <f t="shared" si="59"/>
        <v>296</v>
      </c>
      <c r="Q63" s="50">
        <f t="shared" si="59"/>
        <v>296</v>
      </c>
      <c r="R63" s="50">
        <f t="shared" si="59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92.25</v>
      </c>
      <c r="R64" s="34">
        <f t="array" ref="R64">IF(R62="","",Q64+IF(ISNA(VLOOKUP(S2,$H$2:$H$51,2,FALSE)),0,SUM(IF($H$2:$K$51=S2,$K$2:$K$51))))</f>
        <v>118.25</v>
      </c>
      <c r="S64" s="34">
        <f t="array" ref="S64">IF(S62="","",R64+IF(ISNA(VLOOKUP(T2,$H$2:$H$51,2,FALSE)),0,SUM(IF($H$2:$K$51=T2,$K$2:$K$51))))</f>
        <v>148.75</v>
      </c>
      <c r="T64" s="34">
        <f t="array" ref="T64">IF(T62="","",S64+IF(ISNA(VLOOKUP(U2,$H$2:$H$51,2,FALSE)),0,SUM(IF($H$2:$K$51=U2,$K$2:$K$51))))</f>
        <v>181.25</v>
      </c>
      <c r="U64" s="34">
        <f t="array" ref="U64">IF(U62="","",T64+IF(ISNA(VLOOKUP(V2,$H$2:$H$51,2,FALSE)),0,SUM(IF($H$2:$K$51=V2,$K$2:$K$51))))</f>
        <v>233.75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116.25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394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35" priority="146" operator="greaterThan">
      <formula>#REF!</formula>
    </cfRule>
    <cfRule type="cellIs" dxfId="34" priority="147" operator="lessThan">
      <formula>#REF!</formula>
    </cfRule>
  </conditionalFormatting>
  <conditionalFormatting sqref="L56:M59 L3:M47">
    <cfRule type="cellIs" dxfId="33" priority="153" operator="greaterThan">
      <formula>G3</formula>
    </cfRule>
    <cfRule type="cellIs" dxfId="32" priority="154" operator="lessThan">
      <formula>G3</formula>
    </cfRule>
  </conditionalFormatting>
  <conditionalFormatting sqref="N56:N59 N3:N47">
    <cfRule type="cellIs" priority="157" stopIfTrue="1" operator="equal">
      <formula>0</formula>
    </cfRule>
    <cfRule type="cellIs" dxfId="31" priority="158" operator="lessThan">
      <formula>K3</formula>
    </cfRule>
    <cfRule type="cellIs" dxfId="30" priority="159" operator="greaterThan">
      <formula>K3</formula>
    </cfRule>
  </conditionalFormatting>
  <conditionalFormatting sqref="O65:W65">
    <cfRule type="cellIs" dxfId="29" priority="51" operator="greaterThan">
      <formula>0</formula>
    </cfRule>
  </conditionalFormatting>
  <conditionalFormatting sqref="O66:W66">
    <cfRule type="cellIs" dxfId="28" priority="50" operator="greaterThan">
      <formula>0</formula>
    </cfRule>
  </conditionalFormatting>
  <conditionalFormatting sqref="G56:H59 G51:H52 G49:H49 G3:H47">
    <cfRule type="expression" dxfId="27" priority="40">
      <formula>FormulaInCell</formula>
    </cfRule>
  </conditionalFormatting>
  <conditionalFormatting sqref="O3:W59">
    <cfRule type="cellIs" dxfId="26" priority="47" operator="equal">
      <formula>"X"</formula>
    </cfRule>
    <cfRule type="cellIs" dxfId="25" priority="48" operator="greaterThan">
      <formula>0</formula>
    </cfRule>
    <cfRule type="expression" dxfId="24" priority="49">
      <formula>AND(O$2&gt;=$G3,O$2&lt;$H3,ISNUMBER(O3))</formula>
    </cfRule>
    <cfRule type="expression" dxfId="23" priority="52">
      <formula>AND(O$2&gt;=$G3,O$2&lt;$H3)</formula>
    </cfRule>
    <cfRule type="expression" dxfId="22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21" priority="31" operator="lessThan">
      <formula>$K$61</formula>
    </cfRule>
    <cfRule type="cellIs" dxfId="20" priority="32" operator="greaterThan">
      <formula>$K$61</formula>
    </cfRule>
  </conditionalFormatting>
  <conditionalFormatting sqref="O63:W63">
    <cfRule type="expression" dxfId="19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8" priority="23" operator="greaterThan">
      <formula>#REF!</formula>
    </cfRule>
    <cfRule type="cellIs" dxfId="17" priority="24" operator="lessThan">
      <formula>#REF!</formula>
    </cfRule>
  </conditionalFormatting>
  <conditionalFormatting sqref="L53:M55">
    <cfRule type="cellIs" dxfId="16" priority="25" operator="greaterThan">
      <formula>G53</formula>
    </cfRule>
    <cfRule type="cellIs" dxfId="15" priority="26" operator="lessThan">
      <formula>G53</formula>
    </cfRule>
  </conditionalFormatting>
  <conditionalFormatting sqref="N48:N49 N53:N55">
    <cfRule type="cellIs" priority="27" stopIfTrue="1" operator="equal">
      <formula>0</formula>
    </cfRule>
    <cfRule type="cellIs" dxfId="14" priority="28" operator="lessThan">
      <formula>K48</formula>
    </cfRule>
    <cfRule type="cellIs" dxfId="13" priority="29" operator="greaterThan">
      <formula>K48</formula>
    </cfRule>
  </conditionalFormatting>
  <conditionalFormatting sqref="G48:H48 G53:H55">
    <cfRule type="expression" dxfId="12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11" priority="9" operator="greaterThan">
      <formula>#REF!</formula>
    </cfRule>
    <cfRule type="cellIs" dxfId="10" priority="10" operator="lessThan">
      <formula>#REF!</formula>
    </cfRule>
  </conditionalFormatting>
  <conditionalFormatting sqref="N50:N52">
    <cfRule type="cellIs" priority="13" stopIfTrue="1" operator="equal">
      <formula>0</formula>
    </cfRule>
    <cfRule type="cellIs" dxfId="9" priority="14" operator="lessThan">
      <formula>K50</formula>
    </cfRule>
    <cfRule type="cellIs" dxfId="8" priority="15" operator="greaterThan">
      <formula>K50</formula>
    </cfRule>
  </conditionalFormatting>
  <conditionalFormatting sqref="O69:W69 O2:W2 N62:W62">
    <cfRule type="expression" dxfId="7" priority="223">
      <formula>N2&gt;MAX($H$3:$H$41)</formula>
    </cfRule>
  </conditionalFormatting>
  <conditionalFormatting sqref="L48:M49">
    <cfRule type="cellIs" dxfId="6" priority="244" operator="greaterThan">
      <formula>#REF!</formula>
    </cfRule>
    <cfRule type="cellIs" dxfId="5" priority="245" operator="lessThan">
      <formula>#REF!</formula>
    </cfRule>
  </conditionalFormatting>
  <conditionalFormatting sqref="L50:M52">
    <cfRule type="cellIs" dxfId="4" priority="246" operator="greaterThan">
      <formula>G49</formula>
    </cfRule>
    <cfRule type="cellIs" dxfId="3" priority="247" operator="lessThan">
      <formula>G49</formula>
    </cfRule>
  </conditionalFormatting>
  <conditionalFormatting sqref="G50:H50">
    <cfRule type="expression" dxfId="2" priority="1">
      <formula>FormulaInCell</formula>
    </cfRule>
  </conditionalFormatting>
  <dataValidations disablePrompts="1"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2013-05-13T14:12:37Z</dcterms:modified>
</cp:coreProperties>
</file>