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REPOSITORIOS\ISEC_REP\2º Semestre\PS\trunk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S7" i="2" l="1"/>
  <c r="S45" i="2" l="1"/>
  <c r="S48" i="2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L33" i="2" a="1"/>
  <c r="L33" i="2" s="1"/>
  <c r="M33" i="2"/>
  <c r="N33" i="2"/>
  <c r="L34" i="2" a="1"/>
  <c r="L34" i="2" s="1"/>
  <c r="M34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Q54" i="2"/>
  <c r="Q50" i="2"/>
  <c r="R50" i="2" s="1"/>
  <c r="S50" i="2" s="1"/>
  <c r="T50" i="2" s="1"/>
  <c r="U50" i="2" s="1"/>
  <c r="V50" i="2" s="1"/>
  <c r="W50" i="2" s="1"/>
  <c r="N50" i="2"/>
  <c r="Q49" i="2"/>
  <c r="R49" i="2" s="1"/>
  <c r="S49" i="2" s="1"/>
  <c r="T49" i="2" s="1"/>
  <c r="U49" i="2" s="1"/>
  <c r="V49" i="2" s="1"/>
  <c r="W49" i="2" s="1"/>
  <c r="N49" i="2"/>
  <c r="N53" i="2"/>
  <c r="U48" i="2"/>
  <c r="V48" i="2" s="1"/>
  <c r="W48" i="2" s="1"/>
  <c r="L53" i="2" a="1"/>
  <c r="L53" i="2" s="1"/>
  <c r="M53" i="2"/>
  <c r="R52" i="2"/>
  <c r="S52" i="2" s="1"/>
  <c r="T52" i="2" s="1"/>
  <c r="U52" i="2" s="1"/>
  <c r="V52" i="2" s="1"/>
  <c r="W52" i="2" s="1"/>
  <c r="Q51" i="2"/>
  <c r="R51" i="2" s="1"/>
  <c r="S51" i="2" s="1"/>
  <c r="T51" i="2" s="1"/>
  <c r="U51" i="2" s="1"/>
  <c r="V51" i="2" s="1"/>
  <c r="W51" i="2" s="1"/>
  <c r="Q8" i="2"/>
  <c r="N52" i="2" l="1"/>
  <c r="N51" i="2"/>
  <c r="L55" i="2" a="1"/>
  <c r="L55" i="2" s="1"/>
  <c r="R54" i="2"/>
  <c r="M55" i="2"/>
  <c r="N55" i="2"/>
  <c r="N48" i="2"/>
  <c r="M52" i="2"/>
  <c r="M49" i="2"/>
  <c r="L51" i="2" a="1"/>
  <c r="L51" i="2" s="1"/>
  <c r="L52" i="2" a="1"/>
  <c r="L52" i="2" s="1"/>
  <c r="M51" i="2"/>
  <c r="L50" i="2" a="1"/>
  <c r="L50" i="2" s="1"/>
  <c r="M50" i="2"/>
  <c r="L49" i="2" a="1"/>
  <c r="L49" i="2" s="1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N42" i="2"/>
  <c r="Q47" i="2"/>
  <c r="R47" i="2" s="1"/>
  <c r="S47" i="2" s="1"/>
  <c r="T47" i="2" s="1"/>
  <c r="U47" i="2" s="1"/>
  <c r="V47" i="2" s="1"/>
  <c r="W47" i="2" s="1"/>
  <c r="N47" i="2"/>
  <c r="Q46" i="2"/>
  <c r="R46" i="2" s="1"/>
  <c r="S46" i="2" s="1"/>
  <c r="T46" i="2" s="1"/>
  <c r="U46" i="2" s="1"/>
  <c r="V46" i="2" s="1"/>
  <c r="W46" i="2" s="1"/>
  <c r="N46" i="2"/>
  <c r="S54" i="2"/>
  <c r="N59" i="2"/>
  <c r="Q43" i="2"/>
  <c r="T43" i="2" s="1"/>
  <c r="Q57" i="2"/>
  <c r="R57" i="2" s="1"/>
  <c r="U43" i="2"/>
  <c r="Q59" i="2"/>
  <c r="R59" i="2" s="1"/>
  <c r="S59" i="2" s="1"/>
  <c r="T59" i="2" s="1"/>
  <c r="U59" i="2" s="1"/>
  <c r="V59" i="2" s="1"/>
  <c r="W59" i="2" s="1"/>
  <c r="M47" i="2"/>
  <c r="R45" i="2"/>
  <c r="T45" i="2" s="1"/>
  <c r="M46" i="2"/>
  <c r="Q56" i="2"/>
  <c r="Q44" i="2"/>
  <c r="O71" i="2"/>
  <c r="M17" i="2"/>
  <c r="M18" i="2"/>
  <c r="M19" i="2"/>
  <c r="M20" i="2"/>
  <c r="M21" i="2"/>
  <c r="M22" i="2"/>
  <c r="M23" i="2"/>
  <c r="M24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6" i="2" a="1"/>
  <c r="L26" i="2" s="1"/>
  <c r="L27" i="2" a="1"/>
  <c r="L27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S57" i="2" l="1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L57" i="2" a="1"/>
  <c r="L57" i="2" s="1"/>
  <c r="R44" i="2"/>
  <c r="R56" i="2"/>
  <c r="M57" i="2"/>
  <c r="N7" i="2"/>
  <c r="Q3" i="2"/>
  <c r="N4" i="2"/>
  <c r="N5" i="2"/>
  <c r="N6" i="2"/>
  <c r="N8" i="2"/>
  <c r="N9" i="2"/>
  <c r="N10" i="2"/>
  <c r="N11" i="2"/>
  <c r="L9" i="2" a="1"/>
  <c r="L9" i="2" s="1"/>
  <c r="U54" i="2" l="1"/>
  <c r="M45" i="2"/>
  <c r="N43" i="2"/>
  <c r="N57" i="2"/>
  <c r="W43" i="2"/>
  <c r="S44" i="2"/>
  <c r="T44" i="2" s="1"/>
  <c r="U44" i="2" s="1"/>
  <c r="V44" i="2" s="1"/>
  <c r="W44" i="2" s="1"/>
  <c r="N44" i="2" s="1"/>
  <c r="S56" i="2"/>
  <c r="R3" i="2"/>
  <c r="W62" i="2"/>
  <c r="U13" i="2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M54" i="2" l="1"/>
  <c r="S3" i="2"/>
  <c r="T3" i="2" s="1"/>
  <c r="N36" i="2"/>
  <c r="N38" i="2"/>
  <c r="Q39" i="2"/>
  <c r="R39" i="2" s="1"/>
  <c r="S39" i="2" s="1"/>
  <c r="T39" i="2" s="1"/>
  <c r="U39" i="2" s="1"/>
  <c r="V39" i="2" s="1"/>
  <c r="O65" i="2"/>
  <c r="P60" i="2"/>
  <c r="P66" i="2"/>
  <c r="N37" i="2"/>
  <c r="V54" i="2"/>
  <c r="W54" i="2" s="1"/>
  <c r="N54" i="2"/>
  <c r="U12" i="2"/>
  <c r="M44" i="2"/>
  <c r="L46" i="2" a="1"/>
  <c r="L46" i="2" s="1"/>
  <c r="T56" i="2"/>
  <c r="Q32" i="2"/>
  <c r="R32" i="2" s="1"/>
  <c r="S32" i="2" s="1"/>
  <c r="T32" i="2" s="1"/>
  <c r="U32" i="2" s="1"/>
  <c r="V32" i="2" s="1"/>
  <c r="W32" i="2" s="1"/>
  <c r="M16" i="2"/>
  <c r="Q15" i="2"/>
  <c r="Q38" i="2"/>
  <c r="R38" i="2" s="1"/>
  <c r="S38" i="2" s="1"/>
  <c r="T38" i="2" s="1"/>
  <c r="U38" i="2" s="1"/>
  <c r="V38" i="2" s="1"/>
  <c r="W38" i="2" s="1"/>
  <c r="T31" i="2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S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N64" i="2" s="1" a="1"/>
  <c r="N64" i="2" s="1"/>
  <c r="T14" i="2"/>
  <c r="W39" i="2"/>
  <c r="M39" i="2" s="1"/>
  <c r="N77" i="2"/>
  <c r="R41" i="2"/>
  <c r="N39" i="2" l="1"/>
  <c r="N35" i="2"/>
  <c r="M15" i="2"/>
  <c r="L54" i="2" a="1"/>
  <c r="L54" i="2" s="1"/>
  <c r="V12" i="2"/>
  <c r="L35" i="2" a="1"/>
  <c r="L35" i="2" s="1"/>
  <c r="L38" i="2" a="1"/>
  <c r="L38" i="2" s="1"/>
  <c r="L36" i="2" a="1"/>
  <c r="L36" i="2" s="1"/>
  <c r="M37" i="2"/>
  <c r="M35" i="2"/>
  <c r="L37" i="2" a="1"/>
  <c r="L37" i="2" s="1"/>
  <c r="M31" i="2"/>
  <c r="L31" i="2" a="1"/>
  <c r="L31" i="2" s="1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M14" i="2" l="1"/>
  <c r="W60" i="2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R65" i="2" l="1"/>
  <c r="S60" i="2"/>
  <c r="S70" i="2"/>
  <c r="T40" i="2"/>
  <c r="T60" i="2" s="1"/>
  <c r="S71" i="2"/>
  <c r="T76" i="2"/>
  <c r="S78" i="2" l="1"/>
  <c r="T70" i="2"/>
  <c r="U40" i="2"/>
  <c r="U60" i="2" s="1"/>
  <c r="U70" i="2"/>
  <c r="U76" i="2"/>
  <c r="T71" i="2"/>
  <c r="T78" i="2" l="1"/>
  <c r="V40" i="2"/>
  <c r="V76" i="2"/>
  <c r="U71" i="2"/>
  <c r="U78" i="2" s="1"/>
  <c r="V60" i="2" l="1"/>
  <c r="N40" i="2"/>
  <c r="V70" i="2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L16" i="2" a="1"/>
  <c r="L16" i="2" s="1"/>
  <c r="Q69" i="2"/>
  <c r="P63" i="2" l="1"/>
  <c r="P64" i="2" a="1"/>
  <c r="P64" i="2" s="1"/>
  <c r="Q64" i="2" s="1" a="1"/>
  <c r="Q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R69" i="2"/>
  <c r="M48" i="2" l="1"/>
  <c r="L48" i="2" a="1"/>
  <c r="L48" i="2" s="1"/>
  <c r="L25" i="2" a="1"/>
  <c r="L25" i="2" s="1"/>
  <c r="M7" i="2"/>
  <c r="L28" i="2" a="1"/>
  <c r="L28" i="2" s="1"/>
  <c r="M25" i="2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R64" i="2" l="1" a="1"/>
  <c r="R64" i="2" s="1"/>
  <c r="S64" i="2" s="1" a="1"/>
  <c r="S64" i="2" s="1"/>
  <c r="S62" i="2"/>
  <c r="S63" i="2" s="1"/>
  <c r="T69" i="2"/>
  <c r="U2" i="2"/>
  <c r="T62" i="2" l="1"/>
  <c r="T63" i="2" s="1"/>
  <c r="V2" i="2"/>
  <c r="L15" i="2" a="1"/>
  <c r="L15" i="2" s="1"/>
  <c r="U69" i="2"/>
  <c r="T64" i="2" l="1" a="1"/>
  <c r="T64" i="2" s="1"/>
  <c r="U64" i="2" s="1" a="1"/>
  <c r="U64" i="2" s="1"/>
  <c r="W2" i="2"/>
  <c r="J60" i="2" s="1"/>
  <c r="U62" i="2"/>
  <c r="U63" i="2" s="1"/>
  <c r="V69" i="2"/>
  <c r="V62" i="2" l="1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<sst xmlns="http://schemas.openxmlformats.org/spreadsheetml/2006/main" count="257" uniqueCount="132">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</sst>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95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2694472"/>
        <c:axId val="232696432"/>
      </c:lineChart>
      <c:catAx>
        <c:axId val="2326944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2696432"/>
        <c:crosses val="autoZero"/>
        <c:auto val="0"/>
        <c:lblAlgn val="ctr"/>
        <c:lblOffset val="100"/>
        <c:noMultiLvlLbl val="0"/>
      </c:catAx>
      <c:valAx>
        <c:axId val="2326964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2694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N15" activePane="bottomRight" state="frozen"/>
      <selection pane="topRight" activeCell="F1" sqref="F1"/>
      <selection pane="bottomLeft" activeCell="A3" sqref="A3"/>
      <selection pane="bottomRight" activeCell="W20" sqref="W20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41407</v>
      </c>
      <c r="N7" s="56">
        <f t="shared" si="3"/>
        <v>35.25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 t="s">
        <v>112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 t="str">
        <f t="shared" si="1"/>
        <v/>
      </c>
      <c r="N14" s="56">
        <f t="shared" si="3"/>
        <v>2.5</v>
      </c>
      <c r="O14" s="51"/>
      <c r="P14" s="51"/>
      <c r="Q14" s="51"/>
      <c r="R14" s="51">
        <f>2.5</f>
        <v>2.5</v>
      </c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0.75</v>
      </c>
      <c r="O18" s="51"/>
      <c r="P18" s="51"/>
      <c r="Q18" s="51"/>
      <c r="R18" s="51"/>
      <c r="S18" s="51">
        <v>0.75</v>
      </c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 t="str">
        <f t="shared" si="1"/>
        <v/>
      </c>
      <c r="N19" s="56">
        <f t="shared" si="3"/>
        <v>3</v>
      </c>
      <c r="O19" s="51"/>
      <c r="P19" s="51"/>
      <c r="Q19" s="51"/>
      <c r="R19" s="51"/>
      <c r="S19" s="51">
        <v>3</v>
      </c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 t="str">
        <f t="shared" si="1"/>
        <v/>
      </c>
      <c r="N20" s="56">
        <f t="shared" si="3"/>
        <v>0.75</v>
      </c>
      <c r="O20" s="51"/>
      <c r="P20" s="51"/>
      <c r="Q20" s="51"/>
      <c r="R20" s="51"/>
      <c r="S20" s="51">
        <v>0.75</v>
      </c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2.5</v>
      </c>
      <c r="O28" s="51"/>
      <c r="P28" s="51"/>
      <c r="Q28" s="51"/>
      <c r="R28" s="51"/>
      <c r="S28" s="51">
        <v>2.5</v>
      </c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2.5</v>
      </c>
      <c r="O29" s="51"/>
      <c r="P29" s="51"/>
      <c r="Q29" s="51"/>
      <c r="R29" s="51"/>
      <c r="S29" s="51">
        <v>2.5</v>
      </c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 t="str">
        <f t="shared" si="1"/>
        <v/>
      </c>
      <c r="N31" s="56">
        <f t="shared" si="3"/>
        <v>0.75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 t="str">
        <f t="shared" ref="S31:W32" si="9">IF(ISNUMBER(S31)," ",IF(S31="X","X"," "))</f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8"/>
        <v>2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</f>
        <v>2</v>
      </c>
      <c r="T45" s="51" t="str">
        <f t="shared" si="23"/>
        <v xml:space="preserve"> </v>
      </c>
      <c r="U45" s="51" t="str">
        <f t="shared" si="23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0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 t="str">
        <f t="shared" si="23"/>
        <v xml:space="preserve"> 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 t="str">
        <f t="shared" si="23"/>
        <v xml:space="preserve"> </v>
      </c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9"/>
        <v/>
      </c>
      <c r="N49" s="56">
        <f t="shared" si="18"/>
        <v>0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 t="str">
        <f t="shared" si="23"/>
        <v xml:space="preserve"> </v>
      </c>
      <c r="T49" s="51" t="str">
        <f t="shared" si="23"/>
        <v xml:space="preserve"> 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22.2</v>
      </c>
      <c r="T60" s="56">
        <f t="shared" si="55"/>
        <v>0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8.7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8.7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138.44999999999999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416.2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Joao Girao</cp:lastModifiedBy>
  <dcterms:created xsi:type="dcterms:W3CDTF">2009-04-24T00:02:24Z</dcterms:created>
  <dcterms:modified xsi:type="dcterms:W3CDTF">2013-05-19T19:14:52Z</dcterms:modified>
</cp:coreProperties>
</file>