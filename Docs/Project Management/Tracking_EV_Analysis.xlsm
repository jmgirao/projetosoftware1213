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4562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S49" i="2" l="1"/>
  <c r="S47" i="2"/>
  <c r="S45" i="2" l="1"/>
  <c r="S35" i="2" l="1"/>
  <c r="S21" i="2"/>
  <c r="S48" i="2" l="1"/>
  <c r="S7" i="2" l="1"/>
  <c r="J63" i="2" l="1"/>
  <c r="K63" i="2"/>
  <c r="R43" i="2"/>
  <c r="R10" i="2" l="1"/>
  <c r="R14" i="2" l="1"/>
  <c r="R12" i="2"/>
  <c r="R7" i="2" l="1"/>
  <c r="R11" i="2" l="1"/>
  <c r="P48" i="2"/>
  <c r="Q48" i="2" s="1"/>
  <c r="R48" i="2" s="1"/>
  <c r="P49" i="2"/>
  <c r="P50" i="2"/>
  <c r="L33" i="2" a="1"/>
  <c r="L33" i="2" s="1"/>
  <c r="M33" i="2"/>
  <c r="N33" i="2"/>
  <c r="L34" i="2" a="1"/>
  <c r="L34" i="2" s="1"/>
  <c r="M34" i="2"/>
  <c r="N34" i="2"/>
  <c r="P53" i="2"/>
  <c r="Q53" i="2" s="1"/>
  <c r="R53" i="2" s="1"/>
  <c r="S53" i="2" s="1"/>
  <c r="T53" i="2" s="1"/>
  <c r="U53" i="2" s="1"/>
  <c r="V53" i="2" s="1"/>
  <c r="W53" i="2" s="1"/>
  <c r="P54" i="2"/>
  <c r="P55" i="2"/>
  <c r="P52" i="2"/>
  <c r="P51" i="2"/>
  <c r="Q42" i="2"/>
  <c r="P41" i="2"/>
  <c r="O40" i="2"/>
  <c r="R8" i="2"/>
  <c r="Q55" i="2" l="1"/>
  <c r="R55" i="2" s="1"/>
  <c r="S55" i="2" s="1"/>
  <c r="T55" i="2" s="1"/>
  <c r="U55" i="2" s="1"/>
  <c r="V55" i="2" s="1"/>
  <c r="W55" i="2" s="1"/>
  <c r="O60" i="2"/>
  <c r="O66" i="2"/>
  <c r="Q52" i="2"/>
  <c r="R52" i="2" s="1"/>
  <c r="S52" i="2" s="1"/>
  <c r="T52" i="2" s="1"/>
  <c r="U52" i="2" s="1"/>
  <c r="V52" i="2" s="1"/>
  <c r="W52" i="2" s="1"/>
  <c r="Q54" i="2"/>
  <c r="Q50" i="2"/>
  <c r="R50" i="2" s="1"/>
  <c r="S50" i="2" s="1"/>
  <c r="T50" i="2" s="1"/>
  <c r="U50" i="2" s="1"/>
  <c r="V50" i="2" s="1"/>
  <c r="W50" i="2" s="1"/>
  <c r="Q49" i="2"/>
  <c r="R49" i="2" s="1"/>
  <c r="T49" i="2" s="1"/>
  <c r="U49" i="2" s="1"/>
  <c r="V49" i="2" s="1"/>
  <c r="W49" i="2" s="1"/>
  <c r="N53" i="2"/>
  <c r="U48" i="2"/>
  <c r="V48" i="2" s="1"/>
  <c r="W48" i="2" s="1"/>
  <c r="L53" i="2" a="1"/>
  <c r="L53" i="2" s="1"/>
  <c r="M53" i="2"/>
  <c r="Q51" i="2"/>
  <c r="R51" i="2" s="1"/>
  <c r="S51" i="2" s="1"/>
  <c r="T51" i="2" s="1"/>
  <c r="U51" i="2" s="1"/>
  <c r="V51" i="2" s="1"/>
  <c r="W51" i="2" s="1"/>
  <c r="Q8" i="2"/>
  <c r="N49" i="2" l="1"/>
  <c r="N50" i="2"/>
  <c r="N52" i="2"/>
  <c r="N51" i="2"/>
  <c r="L55" i="2" a="1"/>
  <c r="L55" i="2" s="1"/>
  <c r="R54" i="2"/>
  <c r="M55" i="2"/>
  <c r="N55" i="2"/>
  <c r="N48" i="2"/>
  <c r="M52" i="2"/>
  <c r="M49" i="2"/>
  <c r="L51" i="2" a="1"/>
  <c r="L51" i="2" s="1"/>
  <c r="L52" i="2" a="1"/>
  <c r="L52" i="2" s="1"/>
  <c r="M51" i="2"/>
  <c r="L50" i="2" a="1"/>
  <c r="L50" i="2" s="1"/>
  <c r="M50" i="2"/>
  <c r="L49" i="2" a="1"/>
  <c r="L49" i="2" s="1"/>
  <c r="P42" i="2"/>
  <c r="P43" i="2"/>
  <c r="P44" i="2"/>
  <c r="P45" i="2"/>
  <c r="Q45" i="2" s="1"/>
  <c r="P46" i="2"/>
  <c r="P47" i="2"/>
  <c r="P56" i="2"/>
  <c r="P57" i="2"/>
  <c r="P58" i="2"/>
  <c r="P59" i="2"/>
  <c r="Q58" i="2" l="1"/>
  <c r="R58" i="2" s="1"/>
  <c r="S58" i="2" s="1"/>
  <c r="T58" i="2" s="1"/>
  <c r="U58" i="2" s="1"/>
  <c r="V58" i="2" s="1"/>
  <c r="W58" i="2" s="1"/>
  <c r="S42" i="2"/>
  <c r="T42" i="2" s="1"/>
  <c r="U42" i="2" s="1"/>
  <c r="V42" i="2" s="1"/>
  <c r="Q47" i="2"/>
  <c r="R47" i="2" s="1"/>
  <c r="T47" i="2" s="1"/>
  <c r="U47" i="2" s="1"/>
  <c r="V47" i="2" s="1"/>
  <c r="W47" i="2" s="1"/>
  <c r="Q46" i="2"/>
  <c r="R46" i="2" s="1"/>
  <c r="S46" i="2" s="1"/>
  <c r="T46" i="2" s="1"/>
  <c r="U46" i="2" s="1"/>
  <c r="V46" i="2" s="1"/>
  <c r="W46" i="2" s="1"/>
  <c r="M46" i="2" s="1"/>
  <c r="S54" i="2"/>
  <c r="Q43" i="2"/>
  <c r="T43" i="2" s="1"/>
  <c r="U43" i="2" s="1"/>
  <c r="Q57" i="2"/>
  <c r="R57" i="2" s="1"/>
  <c r="Q59" i="2"/>
  <c r="R59" i="2" s="1"/>
  <c r="S59" i="2" s="1"/>
  <c r="T59" i="2" s="1"/>
  <c r="U59" i="2" s="1"/>
  <c r="V59" i="2" s="1"/>
  <c r="W59" i="2" s="1"/>
  <c r="M47" i="2"/>
  <c r="R45" i="2"/>
  <c r="Q56" i="2"/>
  <c r="Q44" i="2"/>
  <c r="O71" i="2"/>
  <c r="M17" i="2"/>
  <c r="M18" i="2"/>
  <c r="M19" i="2"/>
  <c r="M20" i="2"/>
  <c r="M21" i="2"/>
  <c r="M22" i="2"/>
  <c r="M23" i="2"/>
  <c r="M24" i="2"/>
  <c r="M26" i="2"/>
  <c r="M27" i="2"/>
  <c r="M28" i="2"/>
  <c r="M29" i="2"/>
  <c r="M30" i="2"/>
  <c r="L24" i="2" a="1"/>
  <c r="L24" i="2" s="1"/>
  <c r="L26" i="2" a="1"/>
  <c r="L26" i="2" s="1"/>
  <c r="L27" i="2" a="1"/>
  <c r="L27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47" i="2" l="1"/>
  <c r="N46" i="2"/>
  <c r="N42" i="2"/>
  <c r="N59" i="2"/>
  <c r="S57" i="2"/>
  <c r="T57" i="2" s="1"/>
  <c r="U57" i="2" s="1"/>
  <c r="V57" i="2" s="1"/>
  <c r="W57" i="2" s="1"/>
  <c r="L58" i="2" a="1"/>
  <c r="L58" i="2" s="1"/>
  <c r="M58" i="2"/>
  <c r="T54" i="2"/>
  <c r="N58" i="2"/>
  <c r="U45" i="2"/>
  <c r="V45" i="2" s="1"/>
  <c r="W45" i="2" s="1"/>
  <c r="N45" i="2" s="1"/>
  <c r="V43" i="2"/>
  <c r="M59" i="2"/>
  <c r="L59" i="2" a="1"/>
  <c r="L59" i="2" s="1"/>
  <c r="L57" i="2" a="1"/>
  <c r="L57" i="2" s="1"/>
  <c r="R44" i="2"/>
  <c r="R56" i="2"/>
  <c r="M57" i="2"/>
  <c r="N7" i="2"/>
  <c r="Q3" i="2"/>
  <c r="N4" i="2"/>
  <c r="N5" i="2"/>
  <c r="N6" i="2"/>
  <c r="N8" i="2"/>
  <c r="N9" i="2"/>
  <c r="N10" i="2"/>
  <c r="N11" i="2"/>
  <c r="L9" i="2" a="1"/>
  <c r="L9" i="2" s="1"/>
  <c r="U54" i="2" l="1"/>
  <c r="M45" i="2"/>
  <c r="N57" i="2"/>
  <c r="W43" i="2"/>
  <c r="N43" i="2" s="1"/>
  <c r="S44" i="2"/>
  <c r="T44" i="2" s="1"/>
  <c r="U44" i="2" s="1"/>
  <c r="V44" i="2" s="1"/>
  <c r="W44" i="2" s="1"/>
  <c r="N44" i="2" s="1"/>
  <c r="S56" i="2"/>
  <c r="R3" i="2"/>
  <c r="W62" i="2"/>
  <c r="U13" i="2"/>
  <c r="V13" i="2" s="1"/>
  <c r="T15" i="2"/>
  <c r="U15" i="2" s="1"/>
  <c r="V15" i="2" s="1"/>
  <c r="W15" i="2" s="1"/>
  <c r="T16" i="2"/>
  <c r="U16" i="2" s="1"/>
  <c r="V16" i="2" s="1"/>
  <c r="W16" i="2" s="1"/>
  <c r="O2" i="2"/>
  <c r="P15" i="2"/>
  <c r="P16" i="2"/>
  <c r="P31" i="2"/>
  <c r="P32" i="2"/>
  <c r="P35" i="2"/>
  <c r="P36" i="2"/>
  <c r="P37" i="2"/>
  <c r="P38" i="2"/>
  <c r="P39" i="2"/>
  <c r="O77" i="2"/>
  <c r="P77" i="2"/>
  <c r="Q77" i="2"/>
  <c r="R77" i="2"/>
  <c r="S77" i="2"/>
  <c r="T77" i="2"/>
  <c r="U77" i="2"/>
  <c r="V77" i="2"/>
  <c r="W77" i="2"/>
  <c r="S3" i="2" l="1"/>
  <c r="T3" i="2" s="1"/>
  <c r="N36" i="2"/>
  <c r="Q39" i="2"/>
  <c r="R39" i="2" s="1"/>
  <c r="S39" i="2" s="1"/>
  <c r="T39" i="2" s="1"/>
  <c r="U39" i="2" s="1"/>
  <c r="V39" i="2" s="1"/>
  <c r="O65" i="2"/>
  <c r="P60" i="2"/>
  <c r="P66" i="2"/>
  <c r="V54" i="2"/>
  <c r="W54" i="2" s="1"/>
  <c r="N54" i="2"/>
  <c r="U12" i="2"/>
  <c r="M44" i="2"/>
  <c r="L46" i="2" a="1"/>
  <c r="L46" i="2" s="1"/>
  <c r="T56" i="2"/>
  <c r="Q32" i="2"/>
  <c r="R32" i="2" s="1"/>
  <c r="S32" i="2" s="1"/>
  <c r="T32" i="2" s="1"/>
  <c r="U32" i="2" s="1"/>
  <c r="V32" i="2" s="1"/>
  <c r="W32" i="2" s="1"/>
  <c r="M16" i="2"/>
  <c r="Q15" i="2"/>
  <c r="Q38" i="2"/>
  <c r="R38" i="2" s="1"/>
  <c r="S38" i="2" s="1"/>
  <c r="T38" i="2" s="1"/>
  <c r="U38" i="2" s="1"/>
  <c r="V38" i="2" s="1"/>
  <c r="W38" i="2" s="1"/>
  <c r="T31" i="2"/>
  <c r="U31" i="2" s="1"/>
  <c r="V31" i="2" s="1"/>
  <c r="W31" i="2" s="1"/>
  <c r="Q37" i="2"/>
  <c r="R37" i="2" s="1"/>
  <c r="S37" i="2" s="1"/>
  <c r="T37" i="2" s="1"/>
  <c r="U37" i="2" s="1"/>
  <c r="V37" i="2" s="1"/>
  <c r="W37" i="2" s="1"/>
  <c r="L7" i="2" a="1"/>
  <c r="L7" i="2" s="1"/>
  <c r="L6" i="2" a="1"/>
  <c r="L6" i="2" s="1"/>
  <c r="L4" i="2" a="1"/>
  <c r="L4" i="2" s="1"/>
  <c r="Q35" i="2"/>
  <c r="R35" i="2" s="1"/>
  <c r="U35" i="2" s="1"/>
  <c r="V35" i="2" s="1"/>
  <c r="W35" i="2" s="1"/>
  <c r="Q36" i="2"/>
  <c r="R36" i="2" s="1"/>
  <c r="S36" i="2" s="1"/>
  <c r="T36" i="2" s="1"/>
  <c r="U36" i="2" s="1"/>
  <c r="V36" i="2" s="1"/>
  <c r="W36" i="2" s="1"/>
  <c r="N62" i="2"/>
  <c r="N64" i="2" s="1" a="1"/>
  <c r="N64" i="2" s="1"/>
  <c r="W39" i="2"/>
  <c r="M39" i="2" s="1"/>
  <c r="N77" i="2"/>
  <c r="R41" i="2"/>
  <c r="N38" i="2" l="1"/>
  <c r="N37" i="2"/>
  <c r="M54" i="2"/>
  <c r="N39" i="2"/>
  <c r="N35" i="2"/>
  <c r="M15" i="2"/>
  <c r="L54" i="2" a="1"/>
  <c r="L54" i="2" s="1"/>
  <c r="V12" i="2"/>
  <c r="L35" i="2" a="1"/>
  <c r="L35" i="2" s="1"/>
  <c r="L38" i="2" a="1"/>
  <c r="L38" i="2" s="1"/>
  <c r="L36" i="2" a="1"/>
  <c r="L36" i="2" s="1"/>
  <c r="M37" i="2"/>
  <c r="M35" i="2"/>
  <c r="M31" i="2"/>
  <c r="U56" i="2"/>
  <c r="L32" i="2" a="1"/>
  <c r="L32" i="2" s="1"/>
  <c r="L39" i="2" a="1"/>
  <c r="L39" i="2" s="1"/>
  <c r="M32" i="2"/>
  <c r="M36" i="2"/>
  <c r="M38" i="2"/>
  <c r="S41" i="2"/>
  <c r="T41" i="2" s="1"/>
  <c r="U41" i="2" s="1"/>
  <c r="V41" i="2" s="1"/>
  <c r="U14" i="2"/>
  <c r="U3" i="2"/>
  <c r="N41" i="2" l="1"/>
  <c r="V56" i="2"/>
  <c r="W56" i="2" s="1"/>
  <c r="N56" i="2" s="1"/>
  <c r="V14" i="2"/>
  <c r="V3" i="2"/>
  <c r="M56" i="2" l="1"/>
  <c r="L56" i="2" a="1"/>
  <c r="L56" i="2" s="1"/>
  <c r="W14" i="2"/>
  <c r="N3" i="2"/>
  <c r="O70" i="2"/>
  <c r="O76" i="2"/>
  <c r="W60" i="2" l="1"/>
  <c r="Q40" i="2"/>
  <c r="Q76" i="2"/>
  <c r="P70" i="2"/>
  <c r="O78" i="2"/>
  <c r="N13" i="2"/>
  <c r="N32" i="2"/>
  <c r="N15" i="2"/>
  <c r="P71" i="2"/>
  <c r="P76" i="2"/>
  <c r="Q66" i="2" l="1"/>
  <c r="Q60" i="2"/>
  <c r="P65" i="2"/>
  <c r="Q70" i="2"/>
  <c r="R40" i="2"/>
  <c r="P78" i="2"/>
  <c r="R76" i="2"/>
  <c r="Q71" i="2"/>
  <c r="R70" i="2"/>
  <c r="N16" i="2"/>
  <c r="R66" i="2" l="1"/>
  <c r="R60" i="2"/>
  <c r="Q65" i="2"/>
  <c r="Q78" i="2"/>
  <c r="S40" i="2"/>
  <c r="S76" i="2"/>
  <c r="R71" i="2"/>
  <c r="R78" i="2" s="1"/>
  <c r="R65" i="2" l="1"/>
  <c r="S60" i="2"/>
  <c r="S70" i="2"/>
  <c r="T40" i="2"/>
  <c r="T60" i="2" s="1"/>
  <c r="S71" i="2"/>
  <c r="T76" i="2"/>
  <c r="S78" i="2" l="1"/>
  <c r="T70" i="2"/>
  <c r="U40" i="2"/>
  <c r="U60" i="2" s="1"/>
  <c r="U70" i="2"/>
  <c r="U76" i="2"/>
  <c r="T71" i="2"/>
  <c r="T78" i="2" l="1"/>
  <c r="V40" i="2"/>
  <c r="V76" i="2"/>
  <c r="U71" i="2"/>
  <c r="U78" i="2" s="1"/>
  <c r="V60" i="2" l="1"/>
  <c r="N40" i="2"/>
  <c r="V70" i="2"/>
  <c r="N14" i="2"/>
  <c r="V71" i="2"/>
  <c r="L40" i="2" l="1" a="1"/>
  <c r="L40" i="2" s="1"/>
  <c r="M40" i="2"/>
  <c r="V78" i="2"/>
  <c r="W70" i="2"/>
  <c r="W71" i="2"/>
  <c r="W78" i="2" l="1"/>
  <c r="N76" i="2"/>
  <c r="N31" i="2"/>
  <c r="N70" i="2" l="1"/>
  <c r="N71" i="2"/>
  <c r="N12" i="2"/>
  <c r="N78" i="2" l="1"/>
  <c r="P2" i="2" l="1"/>
  <c r="M3" i="2"/>
  <c r="O69" i="2"/>
  <c r="L3" i="2" a="1"/>
  <c r="L3" i="2" s="1"/>
  <c r="M4" i="2" l="1"/>
  <c r="M41" i="2"/>
  <c r="L41" i="2" a="1"/>
  <c r="L41" i="2" s="1"/>
  <c r="O62" i="2"/>
  <c r="O64" i="2" s="1" a="1"/>
  <c r="O64" i="2" s="1"/>
  <c r="Q2" i="2"/>
  <c r="P69" i="2"/>
  <c r="O63" i="2" l="1"/>
  <c r="L44" i="2" a="1"/>
  <c r="L44" i="2" s="1"/>
  <c r="L42" i="2" a="1"/>
  <c r="L42" i="2" s="1"/>
  <c r="M42" i="2"/>
  <c r="M6" i="2"/>
  <c r="L8" i="2" a="1"/>
  <c r="L8" i="2" s="1"/>
  <c r="R2" i="2"/>
  <c r="M5" i="2"/>
  <c r="L5" i="2" a="1"/>
  <c r="L5" i="2" s="1"/>
  <c r="P62" i="2"/>
  <c r="Q69" i="2"/>
  <c r="P63" i="2" l="1"/>
  <c r="P64" i="2" a="1"/>
  <c r="P64" i="2" s="1"/>
  <c r="Q64" i="2" s="1" a="1"/>
  <c r="Q64" i="2" s="1"/>
  <c r="M9" i="2"/>
  <c r="M10" i="2"/>
  <c r="M43" i="2"/>
  <c r="L12" i="2" a="1"/>
  <c r="L12" i="2" s="1"/>
  <c r="M12" i="2"/>
  <c r="L45" i="2" a="1"/>
  <c r="L45" i="2" s="1"/>
  <c r="L43" i="2" a="1"/>
  <c r="L43" i="2" s="1"/>
  <c r="M8" i="2"/>
  <c r="Q62" i="2"/>
  <c r="Q63" i="2" s="1"/>
  <c r="S2" i="2"/>
  <c r="R69" i="2"/>
  <c r="L17" i="2" l="1" a="1"/>
  <c r="L17" i="2" s="1"/>
  <c r="L21" i="2" a="1"/>
  <c r="L21" i="2" s="1"/>
  <c r="L23" i="2" a="1"/>
  <c r="L23" i="2" s="1"/>
  <c r="L18" i="2" a="1"/>
  <c r="L18" i="2" s="1"/>
  <c r="L22" i="2" a="1"/>
  <c r="L22" i="2" s="1"/>
  <c r="L20" i="2" a="1"/>
  <c r="L20" i="2" s="1"/>
  <c r="L19" i="2" a="1"/>
  <c r="L19" i="2" s="1"/>
  <c r="L37" i="2" a="1"/>
  <c r="L37" i="2" s="1"/>
  <c r="L31" i="2" a="1"/>
  <c r="L31" i="2" s="1"/>
  <c r="M14" i="2"/>
  <c r="L16" i="2" a="1"/>
  <c r="L16" i="2" s="1"/>
  <c r="M48" i="2"/>
  <c r="L48" i="2" a="1"/>
  <c r="L48" i="2" s="1"/>
  <c r="L25" i="2" a="1"/>
  <c r="L25" i="2" s="1"/>
  <c r="M7" i="2"/>
  <c r="L28" i="2" a="1"/>
  <c r="L28" i="2" s="1"/>
  <c r="M25" i="2"/>
  <c r="L29" i="2" a="1"/>
  <c r="L29" i="2" s="1"/>
  <c r="L47" i="2" a="1"/>
  <c r="L47" i="2" s="1"/>
  <c r="M13" i="2"/>
  <c r="L10" i="2" a="1"/>
  <c r="L10" i="2" s="1"/>
  <c r="L14" i="2" a="1"/>
  <c r="L14" i="2" s="1"/>
  <c r="L13" i="2" a="1"/>
  <c r="L13" i="2" s="1"/>
  <c r="M11" i="2"/>
  <c r="L11" i="2" a="1"/>
  <c r="L11" i="2" s="1"/>
  <c r="R62" i="2"/>
  <c r="R63" i="2" s="1"/>
  <c r="T2" i="2"/>
  <c r="S69" i="2"/>
  <c r="R64" i="2" l="1" a="1"/>
  <c r="R64" i="2" s="1"/>
  <c r="S64" i="2" s="1" a="1"/>
  <c r="S64" i="2" s="1"/>
  <c r="S62" i="2"/>
  <c r="S63" i="2" s="1"/>
  <c r="T69" i="2"/>
  <c r="U2" i="2"/>
  <c r="T62" i="2" l="1"/>
  <c r="T63" i="2" s="1"/>
  <c r="V2" i="2"/>
  <c r="L15" i="2" a="1"/>
  <c r="L15" i="2" s="1"/>
  <c r="U69" i="2"/>
  <c r="T64" i="2" l="1" a="1"/>
  <c r="T64" i="2" s="1"/>
  <c r="U64" i="2" s="1" a="1"/>
  <c r="U64" i="2" s="1"/>
  <c r="W2" i="2"/>
  <c r="J60" i="2" s="1"/>
  <c r="U62" i="2"/>
  <c r="U63" i="2" s="1"/>
  <c r="V69" i="2"/>
  <c r="V62" i="2" l="1"/>
  <c r="K61" i="2"/>
  <c r="V63" i="2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<sst xmlns="http://schemas.openxmlformats.org/spreadsheetml/2006/main" count="258" uniqueCount="132">
  <si>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</si>
  <si>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</si>
  <si>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</si>
  <si>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</si>
  <si>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</si>
  <si>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</si>
  <si>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</si>
  <si>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</si>
  <si>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</si>
  <si>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</si>
  <si>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</si>
  <si>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</si>
  <si>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</si>
  <si>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</si>
  <si>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</si>
  <si>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</si>
  <si>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</si>
  <si>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</si>
  <si>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</si>
  <si>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</si>
  <si>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</si>
  <si>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</si>
  <si>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</si>
  <si>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</si>
  <si>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</si>
  <si>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</si>
  <si>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</si>
  <si>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</si>
  <si>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</si>
  <si>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</si>
  <si>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</si>
  <si>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</si>
  <si>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</si>
  <si>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</si>
  <si>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</si>
  <si>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</si>
  <si>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</si>
  <si>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</si>
  <si>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</si>
  <si>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</si>
  <si>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</si>
  <si>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</si>
  <si>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</si>
  <si>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</si>
  <si>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</si>
  <si>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</si>
  <si>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</si>
  <si>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</si>
  <si>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</si>
  <si>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</si>
  <si>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</si>
  <si>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</si>
  <si>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</si>
  <si>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</si>
  <si>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</si>
  <si>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</si>
  <si>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</si>
  <si>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</si>
  <si>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</si>
  <si>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</si>
  <si>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</si>
  <si>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</si>
  <si>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</si>
  <si>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</si>
  <si>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</si>
  <si>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</si>
  <si>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</si>
  <si>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</si>
  <si>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</si>
  <si>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</si>
  <si>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</si>
  <si>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</si>
  <si>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</si>
  <si>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</si>
  <si>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</si>
  <si>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</si>
  <si>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</si>
  <si>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</si>
  <si>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</si>
  <si>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</si>
  <si>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</si>
  <si>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</si>
  <si>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</si>
  <si>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</si>
  <si>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</si>
  <si>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</si>
  <si>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</si>
  <si>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</si>
  <si>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</si>
  <si>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</si>
  <si>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</si>
  <si>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</si>
  <si>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</si>
  <si>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</si>
  <si>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</si>
  <si>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</si>
  <si>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</si>
  <si>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</si>
  <si>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</si>
  <si>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</si>
  <si>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</si>
  <si>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</si>
  <si>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</si>
  <si>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</si>
  <si>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</si>
  <si>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</si>
  <si>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</si>
  <si>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</si>
  <si>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</si>
  <si>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</si>
  <si>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</si>
  <si>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</si>
  <si>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</si>
  <si>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</si>
  <si>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</si>
  <si>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</si>
  <si>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</si>
  <si>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</si>
  <si>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</si>
  <si>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</si>
  <si>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</si>
  <si>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</si>
  <si>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</si>
  <si>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</si>
  <si>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</si>
  <si>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</si>
  <si>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</si>
  <si>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</si>
  <si>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</si>
  <si>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</si>
  <si>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</si>
  <si>
    <t>JM; 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</si>
</sst>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0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98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General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General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209.25</c:v>
                </c:pt>
                <c:pt idx="7">
                  <c:v>261.75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General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General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252736"/>
        <c:axId val="79795840"/>
      </c:lineChart>
      <c:catAx>
        <c:axId val="1152527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795840"/>
        <c:crosses val="autoZero"/>
        <c:auto val="0"/>
        <c:lblAlgn val="ctr"/>
        <c:lblOffset val="100"/>
        <c:noMultiLvlLbl val="0"/>
      </c:catAx>
      <c:valAx>
        <c:axId val="7979584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2527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4.45" thickBot="1" x14ac:dyDescent="0.35"/>
    <row r="2" spans="2:2" ht="14.45" thickBot="1" x14ac:dyDescent="0.35">
      <c r="B2" s="9" t="s">
        <v>25</v>
      </c>
    </row>
    <row r="3" spans="2:2" ht="13.9" x14ac:dyDescent="0.3">
      <c r="B3" s="14"/>
    </row>
    <row r="4" spans="2:2" ht="13.9" x14ac:dyDescent="0.3">
      <c r="B4" s="15" t="s">
        <v>40</v>
      </c>
    </row>
    <row r="5" spans="2:2" ht="13.9" x14ac:dyDescent="0.3">
      <c r="B5" s="7" t="s">
        <v>41</v>
      </c>
    </row>
    <row r="6" spans="2:2" ht="13.9" x14ac:dyDescent="0.3">
      <c r="B6" s="7" t="s">
        <v>42</v>
      </c>
    </row>
    <row r="7" spans="2:2" ht="13.9" x14ac:dyDescent="0.3">
      <c r="B7" s="7" t="s">
        <v>62</v>
      </c>
    </row>
    <row r="8" spans="2:2" ht="13.9" x14ac:dyDescent="0.3">
      <c r="B8" s="7" t="s">
        <v>43</v>
      </c>
    </row>
    <row r="9" spans="2:2" ht="13.9" x14ac:dyDescent="0.3">
      <c r="B9" s="7" t="s">
        <v>44</v>
      </c>
    </row>
    <row r="10" spans="2:2" ht="13.9" x14ac:dyDescent="0.3">
      <c r="B10" s="7" t="s">
        <v>45</v>
      </c>
    </row>
    <row r="11" spans="2:2" ht="13.9" x14ac:dyDescent="0.3">
      <c r="B11" s="7" t="s">
        <v>46</v>
      </c>
    </row>
    <row r="12" spans="2:2" ht="13.9" x14ac:dyDescent="0.3">
      <c r="B12" s="7" t="s">
        <v>47</v>
      </c>
    </row>
    <row r="13" spans="2:2" ht="13.9" x14ac:dyDescent="0.3">
      <c r="B13" s="7"/>
    </row>
    <row r="14" spans="2:2" ht="13.9" x14ac:dyDescent="0.3">
      <c r="B14" s="15" t="s">
        <v>30</v>
      </c>
    </row>
    <row r="15" spans="2:2" ht="13.9" x14ac:dyDescent="0.3">
      <c r="B15" s="7" t="s">
        <v>37</v>
      </c>
    </row>
    <row r="16" spans="2:2" ht="13.9" x14ac:dyDescent="0.3">
      <c r="B16" s="7" t="s">
        <v>57</v>
      </c>
    </row>
    <row r="17" spans="2:2" ht="13.9" x14ac:dyDescent="0.3">
      <c r="B17" s="7" t="s">
        <v>38</v>
      </c>
    </row>
    <row r="18" spans="2:2" ht="13.9" x14ac:dyDescent="0.3">
      <c r="B18" s="7" t="s">
        <v>39</v>
      </c>
    </row>
    <row r="19" spans="2:2" ht="13.9" x14ac:dyDescent="0.3">
      <c r="B19" s="7" t="s">
        <v>63</v>
      </c>
    </row>
    <row r="20" spans="2:2" ht="13.9" x14ac:dyDescent="0.3">
      <c r="B20" s="7" t="s">
        <v>64</v>
      </c>
    </row>
    <row r="21" spans="2:2" ht="13.9" x14ac:dyDescent="0.3">
      <c r="B21" s="7" t="s">
        <v>48</v>
      </c>
    </row>
    <row r="22" spans="2:2" ht="13.9" x14ac:dyDescent="0.3">
      <c r="B22" s="7"/>
    </row>
    <row r="23" spans="2:2" ht="13.9" x14ac:dyDescent="0.3">
      <c r="B23" s="66" t="s">
        <v>68</v>
      </c>
    </row>
    <row r="24" spans="2:2" ht="13.9" x14ac:dyDescent="0.3">
      <c r="B24" s="7"/>
    </row>
    <row r="25" spans="2:2" ht="13.9" x14ac:dyDescent="0.3">
      <c r="B25" s="15" t="s">
        <v>14</v>
      </c>
    </row>
    <row r="26" spans="2:2" ht="13.9" x14ac:dyDescent="0.3">
      <c r="B26" s="7" t="s">
        <v>65</v>
      </c>
    </row>
    <row r="27" spans="2:2" ht="13.9" x14ac:dyDescent="0.3">
      <c r="B27" s="7" t="s">
        <v>66</v>
      </c>
    </row>
    <row r="28" spans="2:2" ht="13.9" x14ac:dyDescent="0.3">
      <c r="B28" s="7" t="s">
        <v>33</v>
      </c>
    </row>
    <row r="29" spans="2:2" ht="13.9" x14ac:dyDescent="0.3">
      <c r="B29" s="7" t="s">
        <v>49</v>
      </c>
    </row>
    <row r="30" spans="2:2" ht="13.9" x14ac:dyDescent="0.3">
      <c r="B30" s="7"/>
    </row>
    <row r="31" spans="2:2" ht="13.9" x14ac:dyDescent="0.3">
      <c r="B31" s="15" t="s">
        <v>29</v>
      </c>
    </row>
    <row r="32" spans="2:2" ht="13.9" x14ac:dyDescent="0.3">
      <c r="B32" s="7" t="s">
        <v>50</v>
      </c>
    </row>
    <row r="33" spans="2:2" ht="13.9" x14ac:dyDescent="0.3">
      <c r="B33" s="7" t="s">
        <v>67</v>
      </c>
    </row>
    <row r="34" spans="2:2" ht="13.9" x14ac:dyDescent="0.3">
      <c r="B34" s="7" t="s">
        <v>52</v>
      </c>
    </row>
    <row r="35" spans="2:2" ht="13.9" x14ac:dyDescent="0.3">
      <c r="B35" s="7" t="s">
        <v>51</v>
      </c>
    </row>
    <row r="36" spans="2:2" ht="13.9" x14ac:dyDescent="0.3">
      <c r="B36" s="7" t="s">
        <v>53</v>
      </c>
    </row>
    <row r="37" spans="2:2" ht="13.9" x14ac:dyDescent="0.3">
      <c r="B37" s="7" t="s">
        <v>56</v>
      </c>
    </row>
    <row r="38" spans="2:2" ht="13.9" x14ac:dyDescent="0.3">
      <c r="B38" s="7" t="s">
        <v>54</v>
      </c>
    </row>
    <row r="39" spans="2:2" ht="14.45" thickBot="1" x14ac:dyDescent="0.35">
      <c r="B39" s="8"/>
    </row>
    <row r="40" spans="2:2" ht="14.45" thickBot="1" x14ac:dyDescent="0.35"/>
    <row r="41" spans="2:2" ht="13.9" x14ac:dyDescent="0.3">
      <c r="B41" s="9" t="s">
        <v>22</v>
      </c>
    </row>
    <row r="42" spans="2:2" ht="13.9" x14ac:dyDescent="0.3">
      <c r="B42" s="10" t="s">
        <v>55</v>
      </c>
    </row>
    <row r="43" spans="2:2" ht="13.9" x14ac:dyDescent="0.3">
      <c r="B43" s="11" t="s">
        <v>34</v>
      </c>
    </row>
    <row r="44" spans="2:2" ht="13.9" x14ac:dyDescent="0.3">
      <c r="B44" s="12" t="s">
        <v>24</v>
      </c>
    </row>
    <row r="45" spans="2:2" ht="13.9" x14ac:dyDescent="0.3">
      <c r="B45" s="11" t="s">
        <v>35</v>
      </c>
    </row>
    <row r="46" spans="2:2" ht="13.9" x14ac:dyDescent="0.3">
      <c r="B46" s="11" t="s">
        <v>23</v>
      </c>
    </row>
    <row r="47" spans="2:2" ht="14.45" thickBot="1" x14ac:dyDescent="0.35">
      <c r="B47" s="13" t="s">
        <v>36</v>
      </c>
    </row>
    <row r="48" spans="2:2" ht="13.9" x14ac:dyDescent="0.3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81"/>
  <sheetViews>
    <sheetView showGridLines="0" tabSelected="1" zoomScaleNormal="100" workbookViewId="0">
      <pane xSplit="6" ySplit="2" topLeftCell="G24" activePane="bottomRight" state="frozen"/>
      <selection pane="topRight" activeCell="F1" sqref="F1"/>
      <selection pane="bottomLeft" activeCell="A3" sqref="A3"/>
      <selection pane="bottomRight" activeCell="S30" sqref="S30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3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3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7.6" x14ac:dyDescent="0.3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7.6" x14ac:dyDescent="0.3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7.6" x14ac:dyDescent="0.3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7.6" x14ac:dyDescent="0.3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>
        <f t="shared" si="1"/>
        <v>41414</v>
      </c>
      <c r="N7" s="56">
        <f t="shared" si="3"/>
        <v>38.25</v>
      </c>
      <c r="O7" s="51">
        <v>10</v>
      </c>
      <c r="P7" s="51">
        <v>8</v>
      </c>
      <c r="Q7" s="51">
        <v>0.5</v>
      </c>
      <c r="R7" s="51">
        <f>4.75+3.5</f>
        <v>8.25</v>
      </c>
      <c r="S7" s="51">
        <f>4.25+4+0.25</f>
        <v>8.5</v>
      </c>
      <c r="T7" s="51">
        <v>3</v>
      </c>
      <c r="U7" s="51" t="s">
        <v>112</v>
      </c>
      <c r="V7" s="51" t="s">
        <v>112</v>
      </c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7.6" x14ac:dyDescent="0.3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7.6" x14ac:dyDescent="0.3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7.6" x14ac:dyDescent="0.3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8.15" thickBot="1" x14ac:dyDescent="0.35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7.6" x14ac:dyDescent="0.3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ht="13.9" x14ac:dyDescent="0.3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7.6" x14ac:dyDescent="0.3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>
        <f t="shared" si="1"/>
        <v>41407</v>
      </c>
      <c r="N14" s="56">
        <f t="shared" si="3"/>
        <v>5</v>
      </c>
      <c r="O14" s="51"/>
      <c r="P14" s="51"/>
      <c r="Q14" s="51"/>
      <c r="R14" s="51">
        <f>2.5</f>
        <v>2.5</v>
      </c>
      <c r="S14" s="51">
        <v>2.5</v>
      </c>
      <c r="T14" s="51" t="s">
        <v>112</v>
      </c>
      <c r="U14" s="51" t="str">
        <f t="shared" ref="T14:W16" si="5">IF(ISNUMBER(T14)," ",IF(T14="X","X"," "))</f>
        <v>X</v>
      </c>
      <c r="V14" s="51" t="str">
        <f t="shared" si="5"/>
        <v>X</v>
      </c>
      <c r="W14" s="51" t="str">
        <f t="shared" si="5"/>
        <v>X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3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>
        <f t="array" ref="L15">IF(ISNA(INDEX($O$2:$DA$2,1,MATCH(1,IF($O15:$DM15,1),0))),"",INDEX($O$2:$DA$2,1,MATCH(1,IF($O15:$DM15,1),0)))</f>
        <v>41407</v>
      </c>
      <c r="M15" s="55" t="str">
        <f t="shared" si="1"/>
        <v/>
      </c>
      <c r="N15" s="56">
        <f t="shared" si="3"/>
        <v>1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>
        <v>1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3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>
        <f t="array" ref="L16">IF(ISNA(INDEX($O$2:$DA$2,1,MATCH(1,IF($O16:$DM16,1),0))),"",INDEX($O$2:$DA$2,1,MATCH(1,IF($O16:$DM16,1),0)))</f>
        <v>41407</v>
      </c>
      <c r="M16" s="55" t="str">
        <f t="shared" si="1"/>
        <v/>
      </c>
      <c r="N16" s="56">
        <f t="shared" si="3"/>
        <v>1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>
        <v>1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3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>
        <f t="array" ref="L17">IF(ISNA(INDEX($O$2:$DA$2,1,MATCH(1,IF($O17:$DM17,1),0))),"",INDEX($O$2:$DA$2,1,MATCH(1,IF($O17:$DM17,1),0)))</f>
        <v>41407</v>
      </c>
      <c r="M17" s="55" t="str">
        <f t="shared" si="1"/>
        <v/>
      </c>
      <c r="N17" s="56">
        <f t="shared" si="3"/>
        <v>0.25</v>
      </c>
      <c r="O17" s="51"/>
      <c r="P17" s="51"/>
      <c r="Q17" s="51"/>
      <c r="R17" s="51"/>
      <c r="S17" s="51">
        <v>0.25</v>
      </c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3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>
        <f t="array" ref="L18">IF(ISNA(INDEX($O$2:$DA$2,1,MATCH(1,IF($O18:$DM18,1),0))),"",INDEX($O$2:$DA$2,1,MATCH(1,IF($O18:$DM18,1),0)))</f>
        <v>41407</v>
      </c>
      <c r="M18" s="55" t="str">
        <f t="shared" si="1"/>
        <v/>
      </c>
      <c r="N18" s="56">
        <f t="shared" si="3"/>
        <v>0.75</v>
      </c>
      <c r="O18" s="51"/>
      <c r="P18" s="51"/>
      <c r="Q18" s="51"/>
      <c r="R18" s="51"/>
      <c r="S18" s="51">
        <v>0.75</v>
      </c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3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41407</v>
      </c>
      <c r="H19" s="45">
        <v>41421</v>
      </c>
      <c r="I19" s="43">
        <v>16</v>
      </c>
      <c r="J19" s="43">
        <v>1</v>
      </c>
      <c r="K19" s="3">
        <v>3</v>
      </c>
      <c r="L19" s="55">
        <f t="array" ref="L19">IF(ISNA(INDEX($O$2:$DA$2,1,MATCH(1,IF($O19:$DM19,1),0))),"",INDEX($O$2:$DA$2,1,MATCH(1,IF($O19:$DM19,1),0)))</f>
        <v>41407</v>
      </c>
      <c r="M19" s="55" t="str">
        <f t="shared" si="1"/>
        <v/>
      </c>
      <c r="N19" s="56">
        <f t="shared" si="3"/>
        <v>3</v>
      </c>
      <c r="O19" s="51"/>
      <c r="P19" s="51"/>
      <c r="Q19" s="51"/>
      <c r="R19" s="51"/>
      <c r="S19" s="51">
        <v>3</v>
      </c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3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41407</v>
      </c>
      <c r="H20" s="45">
        <v>41421</v>
      </c>
      <c r="I20" s="43">
        <v>17</v>
      </c>
      <c r="J20" s="43">
        <v>1</v>
      </c>
      <c r="K20" s="3">
        <v>1</v>
      </c>
      <c r="L20" s="55">
        <f t="array" ref="L20">IF(ISNA(INDEX($O$2:$DA$2,1,MATCH(1,IF($O20:$DM20,1),0))),"",INDEX($O$2:$DA$2,1,MATCH(1,IF($O20:$DM20,1),0)))</f>
        <v>41407</v>
      </c>
      <c r="M20" s="55" t="str">
        <f t="shared" si="1"/>
        <v/>
      </c>
      <c r="N20" s="56">
        <f t="shared" si="3"/>
        <v>0.75</v>
      </c>
      <c r="O20" s="51"/>
      <c r="P20" s="51"/>
      <c r="Q20" s="51"/>
      <c r="R20" s="51"/>
      <c r="S20" s="51">
        <v>0.75</v>
      </c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3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>
        <f t="array" ref="L21">IF(ISNA(INDEX($O$2:$DA$2,1,MATCH(1,IF($O21:$DM21,1),0))),"",INDEX($O$2:$DA$2,1,MATCH(1,IF($O21:$DM21,1),0)))</f>
        <v>41407</v>
      </c>
      <c r="M21" s="55" t="str">
        <f t="shared" si="1"/>
        <v/>
      </c>
      <c r="N21" s="56">
        <f t="shared" si="3"/>
        <v>1.5</v>
      </c>
      <c r="O21" s="51"/>
      <c r="P21" s="51"/>
      <c r="Q21" s="51"/>
      <c r="R21" s="51"/>
      <c r="S21" s="51">
        <f>0.5+1</f>
        <v>1.5</v>
      </c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3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>
        <f t="array" ref="L22">IF(ISNA(INDEX($O$2:$DA$2,1,MATCH(1,IF($O22:$DM22,1),0))),"",INDEX($O$2:$DA$2,1,MATCH(1,IF($O22:$DM22,1),0)))</f>
        <v>41407</v>
      </c>
      <c r="M22" s="55" t="str">
        <f t="shared" si="1"/>
        <v/>
      </c>
      <c r="N22" s="56">
        <f t="shared" si="3"/>
        <v>2</v>
      </c>
      <c r="O22" s="51"/>
      <c r="P22" s="51"/>
      <c r="Q22" s="51"/>
      <c r="R22" s="51"/>
      <c r="S22" s="51">
        <v>2</v>
      </c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3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>
        <f t="array" ref="L23">IF(ISNA(INDEX($O$2:$DA$2,1,MATCH(1,IF($O23:$DM23,1),0))),"",INDEX($O$2:$DA$2,1,MATCH(1,IF($O23:$DM23,1),0)))</f>
        <v>41407</v>
      </c>
      <c r="M23" s="55" t="str">
        <f t="shared" si="1"/>
        <v/>
      </c>
      <c r="N23" s="56">
        <f t="shared" si="3"/>
        <v>0.25</v>
      </c>
      <c r="O23" s="51"/>
      <c r="P23" s="51"/>
      <c r="Q23" s="51"/>
      <c r="R23" s="51"/>
      <c r="S23" s="51">
        <v>0.25</v>
      </c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3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3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>
        <f t="array" ref="L25">IF(ISNA(INDEX($O$2:$DA$2,1,MATCH(1,IF($O25:$DM25,1),0))),"",INDEX($O$2:$DA$2,1,MATCH(1,IF($O25:$DM25,1),0)))</f>
        <v>41407</v>
      </c>
      <c r="M25" s="55">
        <f t="shared" si="1"/>
        <v>41407</v>
      </c>
      <c r="N25" s="56">
        <f t="shared" si="3"/>
        <v>0.45</v>
      </c>
      <c r="O25" s="51"/>
      <c r="P25" s="51"/>
      <c r="Q25" s="51"/>
      <c r="R25" s="51"/>
      <c r="S25" s="51">
        <v>0.45</v>
      </c>
      <c r="T25" s="51" t="s">
        <v>112</v>
      </c>
      <c r="U25" s="51" t="s">
        <v>112</v>
      </c>
      <c r="V25" s="51" t="s">
        <v>112</v>
      </c>
      <c r="W25" s="51" t="s">
        <v>112</v>
      </c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3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3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3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>
        <f t="array" ref="L28">IF(ISNA(INDEX($O$2:$DA$2,1,MATCH(1,IF($O28:$DM28,1),0))),"",INDEX($O$2:$DA$2,1,MATCH(1,IF($O28:$DM28,1),0)))</f>
        <v>41407</v>
      </c>
      <c r="M28" s="55" t="str">
        <f t="shared" si="1"/>
        <v/>
      </c>
      <c r="N28" s="56">
        <f t="shared" si="3"/>
        <v>2.5</v>
      </c>
      <c r="O28" s="51"/>
      <c r="P28" s="51"/>
      <c r="Q28" s="51"/>
      <c r="R28" s="51"/>
      <c r="S28" s="51">
        <v>2.5</v>
      </c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3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>
        <f t="array" ref="L29">IF(ISNA(INDEX($O$2:$DA$2,1,MATCH(1,IF($O29:$DM29,1),0))),"",INDEX($O$2:$DA$2,1,MATCH(1,IF($O29:$DM29,1),0)))</f>
        <v>41407</v>
      </c>
      <c r="M29" s="55" t="str">
        <f t="shared" si="1"/>
        <v/>
      </c>
      <c r="N29" s="56">
        <f t="shared" si="3"/>
        <v>2.5</v>
      </c>
      <c r="O29" s="51"/>
      <c r="P29" s="51"/>
      <c r="Q29" s="51"/>
      <c r="R29" s="51"/>
      <c r="S29" s="51">
        <v>2.5</v>
      </c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3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3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>
        <f t="array" ref="L31">IF(ISNA(INDEX($O$2:$DA$2,1,MATCH(1,IF($O31:$DM31,1),0))),"",INDEX($O$2:$DA$2,1,MATCH(1,IF($O31:$DM31,1),0)))</f>
        <v>41407</v>
      </c>
      <c r="M31" s="55" t="str">
        <f t="shared" si="1"/>
        <v/>
      </c>
      <c r="N31" s="56">
        <f t="shared" si="3"/>
        <v>0.75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>
        <v>0.75</v>
      </c>
      <c r="T31" s="51" t="str">
        <f t="shared" ref="S31:W32" si="9">IF(ISNUMBER(S31)," ",IF(S31="X","X"," "))</f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3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ht="13.9" x14ac:dyDescent="0.3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 t="str">
        <f t="array" ref="L33">IF(ISNA(INDEX($O$2:$DA$2,1,MATCH(1,IF($O33:$DM33,1),0))),"",INDEX($O$2:$DA$2,1,MATCH(1,IF($O33:$DM33,1),0)))</f>
        <v/>
      </c>
      <c r="M33" s="55" t="str">
        <f t="shared" ref="M33:M34" si="11">IF(ISNA(MATCH("X",O33:W33,0)),"",INDEX($O$2:$X$2,1,MATCH("X",O33:W33,0)-1))</f>
        <v/>
      </c>
      <c r="N33" s="56">
        <f t="shared" ref="N33:N34" si="12">SUM(O33:CG33)</f>
        <v>0</v>
      </c>
      <c r="O33" s="51"/>
      <c r="P33" s="51"/>
      <c r="Q33" s="51"/>
      <c r="R33" s="51"/>
      <c r="S33" s="51"/>
      <c r="T33" s="51"/>
      <c r="U33" s="51"/>
      <c r="V33" s="51"/>
      <c r="W33" s="51"/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ht="13.9" x14ac:dyDescent="0.3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>
        <f t="array" ref="L34">IF(ISNA(INDEX($O$2:$DA$2,1,MATCH(1,IF($O34:$DM34,1),0))),"",INDEX($O$2:$DA$2,1,MATCH(1,IF($O34:$DM34,1),0)))</f>
        <v>41414</v>
      </c>
      <c r="M34" s="55" t="str">
        <f t="shared" si="11"/>
        <v/>
      </c>
      <c r="N34" s="56">
        <f t="shared" si="12"/>
        <v>2.75</v>
      </c>
      <c r="O34" s="51"/>
      <c r="P34" s="51"/>
      <c r="Q34" s="51"/>
      <c r="R34" s="51"/>
      <c r="S34" s="51"/>
      <c r="T34" s="51">
        <v>2.75</v>
      </c>
      <c r="U34" s="51"/>
      <c r="V34" s="51"/>
      <c r="W34" s="51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3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 t="str">
        <f t="array" ref="L35">IF(ISNA(INDEX($O$2:$DA$2,1,MATCH(1,IF($O33:$DM33,1),0))),"",INDEX($O$2:$DA$2,1,MATCH(1,IF($O33:$DM33,1),0)))</f>
        <v/>
      </c>
      <c r="M35" s="55" t="str">
        <f t="shared" ref="M35:M47" si="13">IF(ISNA(MATCH("X",O35:W35,0)),"",INDEX($O$2:$X$2,1,MATCH("X",O35:W35,0)-1))</f>
        <v/>
      </c>
      <c r="N35" s="56">
        <f t="shared" ref="N35:N59" si="14">SUM(O35:CG35)</f>
        <v>3.25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>
        <f>1.25+1</f>
        <v>2.25</v>
      </c>
      <c r="T35" s="51">
        <v>1</v>
      </c>
      <c r="U35" s="51" t="str">
        <f t="shared" ref="S35:W39" si="16">IF(ISNUMBER(T35)," ",IF(T35="X","X"," "))</f>
        <v xml:space="preserve"> </v>
      </c>
      <c r="V35" s="51" t="str">
        <f t="shared" si="16"/>
        <v xml:space="preserve"> </v>
      </c>
      <c r="W35" s="51" t="str">
        <f t="shared" si="16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3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41414</v>
      </c>
      <c r="H36" s="45">
        <v>41421</v>
      </c>
      <c r="I36" s="43">
        <v>31</v>
      </c>
      <c r="J36" s="43">
        <v>1.5</v>
      </c>
      <c r="K36" s="3">
        <v>0</v>
      </c>
      <c r="L36" s="55">
        <f t="array" ref="L36">IF(ISNA(INDEX($O$2:$DA$2,1,MATCH(1,IF($O34:$DM34,1),0))),"",INDEX($O$2:$DA$2,1,MATCH(1,IF($O34:$DM34,1),0)))</f>
        <v>41414</v>
      </c>
      <c r="M36" s="55" t="str">
        <f t="shared" si="13"/>
        <v/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 t="str">
        <f t="shared" si="16"/>
        <v xml:space="preserve"> </v>
      </c>
      <c r="U36" s="51" t="str">
        <f t="shared" si="16"/>
        <v xml:space="preserve"> </v>
      </c>
      <c r="V36" s="51" t="str">
        <f t="shared" si="16"/>
        <v xml:space="preserve"> </v>
      </c>
      <c r="W36" s="51" t="str">
        <f t="shared" si="16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3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>
        <f t="array" ref="L37">IF(ISNA(INDEX($O$2:$DA$2,1,MATCH(1,IF($O35:$DM35,1),0))),"",INDEX($O$2:$DA$2,1,MATCH(1,IF($O35:$DM35,1),0)))</f>
        <v>41407</v>
      </c>
      <c r="M37" s="55" t="str">
        <f t="shared" si="13"/>
        <v/>
      </c>
      <c r="N37" s="56">
        <f t="shared" ref="N37:N58" si="18">SUM(O37:CG37)</f>
        <v>0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16"/>
        <v xml:space="preserve"> </v>
      </c>
      <c r="T37" s="51" t="str">
        <f t="shared" si="16"/>
        <v xml:space="preserve"> </v>
      </c>
      <c r="U37" s="51" t="str">
        <f t="shared" si="16"/>
        <v xml:space="preserve"> </v>
      </c>
      <c r="V37" s="51" t="str">
        <f t="shared" si="16"/>
        <v xml:space="preserve"> </v>
      </c>
      <c r="W37" s="51" t="str">
        <f t="shared" si="16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ht="13.9" x14ac:dyDescent="0.3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8"/>
        <v>0</v>
      </c>
      <c r="O38" s="51"/>
      <c r="P38" s="51" t="str">
        <f t="shared" ref="P38:R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 t="str">
        <f t="shared" si="16"/>
        <v xml:space="preserve"> 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ht="13.9" x14ac:dyDescent="0.3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 t="str">
        <f t="array" ref="L39">IF(ISNA(INDEX($O$2:$DA$2,1,MATCH(1,IF($O37:$DM37,1),0))),"",INDEX($O$2:$DA$2,1,MATCH(1,IF($O37:$DM37,1),0)))</f>
        <v/>
      </c>
      <c r="M39" s="55" t="str">
        <f t="shared" si="13"/>
        <v/>
      </c>
      <c r="N39" s="56">
        <f t="shared" si="14"/>
        <v>0</v>
      </c>
      <c r="O39" s="51"/>
      <c r="P39" s="51" t="str">
        <f t="shared" ref="P39:R39" si="21">IF(ISNUMBER(O39)," ",IF(O39="X","X"," "))</f>
        <v xml:space="preserve"> </v>
      </c>
      <c r="Q39" s="51" t="str">
        <f t="shared" si="21"/>
        <v xml:space="preserve"> </v>
      </c>
      <c r="R39" s="51" t="str">
        <f t="shared" si="21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 t="str">
        <f t="shared" si="16"/>
        <v xml:space="preserve"> 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ht="13.9" x14ac:dyDescent="0.3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 t="shared" si="13"/>
        <v>41372</v>
      </c>
      <c r="N40" s="56">
        <f t="shared" si="14"/>
        <v>1.75</v>
      </c>
      <c r="O40" s="51">
        <f>1+0.75</f>
        <v>1.75</v>
      </c>
      <c r="P40" s="51" t="s">
        <v>113</v>
      </c>
      <c r="Q40" s="51" t="str">
        <f t="shared" ref="Q40:R40" si="22">IF(ISNUMBER(P40)," ",IF(P40="X","X"," "))</f>
        <v>X</v>
      </c>
      <c r="R40" s="51" t="str">
        <f t="shared" si="22"/>
        <v>X</v>
      </c>
      <c r="S40" s="51" t="str">
        <f t="shared" ref="S40:V50" si="23">IF(ISNUMBER(R40)," ",IF(R40="X","X"," "))</f>
        <v>X</v>
      </c>
      <c r="T40" s="51" t="str">
        <f t="shared" si="23"/>
        <v>X</v>
      </c>
      <c r="U40" s="51" t="str">
        <f t="shared" si="23"/>
        <v>X</v>
      </c>
      <c r="V40" s="51" t="str">
        <f t="shared" si="23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ht="13.9" x14ac:dyDescent="0.3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 t="shared" si="13"/>
        <v>41379</v>
      </c>
      <c r="N41" s="56">
        <f t="shared" si="18"/>
        <v>1.75</v>
      </c>
      <c r="O41" s="51"/>
      <c r="P41" s="51">
        <f>0.25+0.5+0.75+0.25</f>
        <v>1.75</v>
      </c>
      <c r="Q41" s="51" t="s">
        <v>113</v>
      </c>
      <c r="R41" s="51" t="str">
        <f t="shared" ref="R41" si="24">IF(ISNUMBER(Q41)," ",IF(Q41="X","X"," "))</f>
        <v>X</v>
      </c>
      <c r="S41" s="51" t="str">
        <f t="shared" si="23"/>
        <v>X</v>
      </c>
      <c r="T41" s="51" t="str">
        <f t="shared" si="23"/>
        <v>X</v>
      </c>
      <c r="U41" s="51" t="str">
        <f t="shared" si="23"/>
        <v>X</v>
      </c>
      <c r="V41" s="51" t="str">
        <f t="shared" si="23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ht="13.9" x14ac:dyDescent="0.3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8"/>
        <v>2.5</v>
      </c>
      <c r="O42" s="51"/>
      <c r="P42" s="51" t="str">
        <f t="shared" ref="P42" si="25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3"/>
        <v>X</v>
      </c>
      <c r="T42" s="51" t="str">
        <f t="shared" si="23"/>
        <v>X</v>
      </c>
      <c r="U42" s="51" t="str">
        <f t="shared" si="23"/>
        <v>X</v>
      </c>
      <c r="V42" s="51" t="str">
        <f t="shared" si="23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3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3.5</v>
      </c>
      <c r="O43" s="51"/>
      <c r="P43" s="51" t="str">
        <f t="shared" ref="P43:Q50" si="26">IF(ISNUMBER(O43)," ",IF(O43="X","X"," "))</f>
        <v xml:space="preserve"> </v>
      </c>
      <c r="Q43" s="51" t="str">
        <f t="shared" si="26"/>
        <v xml:space="preserve"> </v>
      </c>
      <c r="R43" s="51">
        <f>0.25+0.25+0.25+1.5+0.5+0.25+0.5</f>
        <v>3.5</v>
      </c>
      <c r="S43" s="51" t="s">
        <v>112</v>
      </c>
      <c r="T43" s="51" t="str">
        <f t="shared" si="23"/>
        <v>X</v>
      </c>
      <c r="U43" s="51" t="str">
        <f t="shared" si="23"/>
        <v>X</v>
      </c>
      <c r="V43" s="51" t="str">
        <f t="shared" si="23"/>
        <v>X</v>
      </c>
      <c r="W43" s="51" t="str">
        <f t="shared" ref="W43:W50" si="27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3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0</v>
      </c>
      <c r="O44" s="51"/>
      <c r="P44" s="51" t="str">
        <f t="shared" si="26"/>
        <v xml:space="preserve"> </v>
      </c>
      <c r="Q44" s="51" t="str">
        <f t="shared" si="26"/>
        <v xml:space="preserve"> </v>
      </c>
      <c r="R44" s="51" t="str">
        <f t="shared" ref="R44:R50" si="28">IF(ISNUMBER(Q44)," ",IF(Q44="X","X"," "))</f>
        <v xml:space="preserve"> </v>
      </c>
      <c r="S44" s="51" t="str">
        <f t="shared" si="23"/>
        <v xml:space="preserve"> </v>
      </c>
      <c r="T44" s="51" t="str">
        <f t="shared" si="23"/>
        <v xml:space="preserve"> </v>
      </c>
      <c r="U44" s="51" t="str">
        <f t="shared" si="23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3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>
        <f t="shared" si="13"/>
        <v>41407</v>
      </c>
      <c r="N45" s="56">
        <f t="shared" si="18"/>
        <v>2.5</v>
      </c>
      <c r="O45" s="51"/>
      <c r="P45" s="51" t="str">
        <f t="shared" si="26"/>
        <v xml:space="preserve"> </v>
      </c>
      <c r="Q45" s="51" t="str">
        <f t="shared" si="26"/>
        <v xml:space="preserve"> </v>
      </c>
      <c r="R45" s="51" t="str">
        <f t="shared" si="28"/>
        <v xml:space="preserve"> </v>
      </c>
      <c r="S45" s="51">
        <f>0.5+0.5+0.25+0.25+0.5+0.25+0.25</f>
        <v>2.5</v>
      </c>
      <c r="T45" s="51" t="s">
        <v>112</v>
      </c>
      <c r="U45" s="51" t="str">
        <f t="shared" si="23"/>
        <v>X</v>
      </c>
      <c r="V45" s="51" t="str">
        <f t="shared" si="23"/>
        <v>X</v>
      </c>
      <c r="W45" s="51" t="str">
        <f t="shared" si="27"/>
        <v>X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3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 t="str">
        <f t="shared" si="13"/>
        <v/>
      </c>
      <c r="N46" s="56">
        <f t="shared" si="18"/>
        <v>0</v>
      </c>
      <c r="O46" s="51"/>
      <c r="P46" s="51" t="str">
        <f t="shared" si="26"/>
        <v xml:space="preserve"> </v>
      </c>
      <c r="Q46" s="51" t="str">
        <f t="shared" si="26"/>
        <v xml:space="preserve"> </v>
      </c>
      <c r="R46" s="51" t="str">
        <f t="shared" si="28"/>
        <v xml:space="preserve"> </v>
      </c>
      <c r="S46" s="51" t="str">
        <f t="shared" si="23"/>
        <v xml:space="preserve"> </v>
      </c>
      <c r="T46" s="51" t="str">
        <f t="shared" si="23"/>
        <v xml:space="preserve"> </v>
      </c>
      <c r="U46" s="51" t="str">
        <f t="shared" si="23"/>
        <v xml:space="preserve"> </v>
      </c>
      <c r="V46" s="51" t="str">
        <f t="shared" si="23"/>
        <v xml:space="preserve"> </v>
      </c>
      <c r="W46" s="51" t="str">
        <f t="shared" si="27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 x14ac:dyDescent="0.3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>
        <f t="array" ref="L47">IF(ISNA(INDEX($O$2:$DA$2,1,MATCH(1,IF($O45:$DM45,1),0))),"",INDEX($O$2:$DA$2,1,MATCH(1,IF($O45:$DM45,1),0)))</f>
        <v>41407</v>
      </c>
      <c r="M47" s="55" t="str">
        <f t="shared" si="13"/>
        <v/>
      </c>
      <c r="N47" s="56">
        <f t="shared" si="14"/>
        <v>0.25</v>
      </c>
      <c r="O47" s="51"/>
      <c r="P47" s="51" t="str">
        <f t="shared" si="26"/>
        <v xml:space="preserve"> </v>
      </c>
      <c r="Q47" s="51" t="str">
        <f t="shared" si="26"/>
        <v xml:space="preserve"> </v>
      </c>
      <c r="R47" s="51" t="str">
        <f t="shared" si="28"/>
        <v xml:space="preserve"> </v>
      </c>
      <c r="S47" s="51">
        <f>0.25</f>
        <v>0.25</v>
      </c>
      <c r="T47" s="51" t="str">
        <f t="shared" si="23"/>
        <v xml:space="preserve"> </v>
      </c>
      <c r="U47" s="51" t="str">
        <f t="shared" si="23"/>
        <v xml:space="preserve"> 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3">
      <c r="A48" s="18"/>
      <c r="B48" s="4">
        <v>46</v>
      </c>
      <c r="C48" s="68" t="s">
        <v>127</v>
      </c>
      <c r="D48" s="68" t="s">
        <v>128</v>
      </c>
      <c r="E48" s="68"/>
      <c r="F48" s="17" t="s">
        <v>131</v>
      </c>
      <c r="G48" s="45">
        <v>41407</v>
      </c>
      <c r="H48" s="45">
        <v>41414</v>
      </c>
      <c r="I48" s="43"/>
      <c r="J48" s="43"/>
      <c r="K48" s="3">
        <v>1</v>
      </c>
      <c r="L48" s="55">
        <f t="array" ref="L48">IF(ISNA(INDEX($O$2:$DA$2,1,MATCH(1,IF($O48:$DM48,1),0))),"",INDEX($O$2:$DA$2,1,MATCH(1,IF($O48:$DM48,1),0)))</f>
        <v>41407</v>
      </c>
      <c r="M48" s="55">
        <f t="shared" ref="M48:M52" si="29">IF(ISNA(MATCH("X",O48:W48,0)),"",INDEX($O$2:$X$2,1,MATCH("X",O48:W48,0)-1))</f>
        <v>41407</v>
      </c>
      <c r="N48" s="56">
        <f t="shared" si="14"/>
        <v>1</v>
      </c>
      <c r="O48" s="51"/>
      <c r="P48" s="51" t="str">
        <f t="shared" si="26"/>
        <v xml:space="preserve"> </v>
      </c>
      <c r="Q48" s="51" t="str">
        <f t="shared" si="26"/>
        <v xml:space="preserve"> </v>
      </c>
      <c r="R48" s="51" t="str">
        <f t="shared" si="28"/>
        <v xml:space="preserve"> </v>
      </c>
      <c r="S48" s="51">
        <f>0.75+0.25</f>
        <v>1</v>
      </c>
      <c r="T48" s="51" t="s">
        <v>112</v>
      </c>
      <c r="U48" s="51" t="str">
        <f t="shared" si="23"/>
        <v>X</v>
      </c>
      <c r="V48" s="51" t="str">
        <f t="shared" si="23"/>
        <v>X</v>
      </c>
      <c r="W48" s="51" t="str">
        <f t="shared" si="27"/>
        <v>X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 x14ac:dyDescent="0.3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>
        <f t="array" ref="L49">IF(ISNA(INDEX($O$2:$DA$2,1,MATCH(1,IF($O49:$DM49,1),0))),"",INDEX($O$2:$DA$2,1,MATCH(1,IF($O49:$DM49,1),0)))</f>
        <v>41407</v>
      </c>
      <c r="M49" s="55" t="str">
        <f t="shared" si="29"/>
        <v/>
      </c>
      <c r="N49" s="56">
        <f t="shared" si="18"/>
        <v>0.25</v>
      </c>
      <c r="O49" s="51"/>
      <c r="P49" s="51" t="str">
        <f t="shared" si="26"/>
        <v xml:space="preserve"> </v>
      </c>
      <c r="Q49" s="51" t="str">
        <f t="shared" si="26"/>
        <v xml:space="preserve"> </v>
      </c>
      <c r="R49" s="51" t="str">
        <f t="shared" si="28"/>
        <v xml:space="preserve"> </v>
      </c>
      <c r="S49" s="51">
        <f>0.25</f>
        <v>0.25</v>
      </c>
      <c r="T49" s="51" t="str">
        <f t="shared" si="23"/>
        <v xml:space="preserve"> </v>
      </c>
      <c r="U49" s="51" t="str">
        <f t="shared" si="23"/>
        <v xml:space="preserve"> </v>
      </c>
      <c r="V49" s="51" t="str">
        <f t="shared" si="23"/>
        <v xml:space="preserve"> </v>
      </c>
      <c r="W49" s="51" t="str">
        <f t="shared" si="27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 x14ac:dyDescent="0.3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9"/>
        <v/>
      </c>
      <c r="N50" s="56">
        <f t="shared" si="18"/>
        <v>0</v>
      </c>
      <c r="O50" s="51"/>
      <c r="P50" s="51" t="str">
        <f t="shared" si="26"/>
        <v xml:space="preserve"> </v>
      </c>
      <c r="Q50" s="51" t="str">
        <f t="shared" si="26"/>
        <v xml:space="preserve"> </v>
      </c>
      <c r="R50" s="51" t="str">
        <f t="shared" si="28"/>
        <v xml:space="preserve"> </v>
      </c>
      <c r="S50" s="51" t="str">
        <f t="shared" si="23"/>
        <v xml:space="preserve"> </v>
      </c>
      <c r="T50" s="51" t="str">
        <f t="shared" si="23"/>
        <v xml:space="preserve"> </v>
      </c>
      <c r="U50" s="51" t="str">
        <f t="shared" si="23"/>
        <v xml:space="preserve"> </v>
      </c>
      <c r="V50" s="51" t="str">
        <f t="shared" si="23"/>
        <v xml:space="preserve"> </v>
      </c>
      <c r="W50" s="51" t="str">
        <f t="shared" si="27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 x14ac:dyDescent="0.3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9"/>
        <v/>
      </c>
      <c r="N51" s="56">
        <f t="shared" si="14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 x14ac:dyDescent="0.3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9"/>
        <v/>
      </c>
      <c r="N52" s="56">
        <f t="shared" si="14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 x14ac:dyDescent="0.3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si="18"/>
        <v>0</v>
      </c>
      <c r="O53" s="51"/>
      <c r="P53" s="51" t="str">
        <f t="shared" ref="P53:P55" si="39">IF(ISNUMBER(O53)," ",IF(O53="X","X"," "))</f>
        <v xml:space="preserve"> </v>
      </c>
      <c r="Q53" s="51" t="str">
        <f t="shared" ref="Q53:Q55" si="40">IF(ISNUMBER(P53)," ",IF(P53="X","X"," "))</f>
        <v xml:space="preserve"> </v>
      </c>
      <c r="R53" s="51" t="str">
        <f t="shared" ref="R53:R55" si="41">IF(ISNUMBER(Q53)," ",IF(Q53="X","X"," "))</f>
        <v xml:space="preserve"> </v>
      </c>
      <c r="S53" s="51" t="str">
        <f t="shared" ref="S53:S55" si="42">IF(ISNUMBER(R53)," ",IF(R53="X","X"," "))</f>
        <v xml:space="preserve"> </v>
      </c>
      <c r="T53" s="51" t="str">
        <f t="shared" ref="T53:T55" si="43">IF(ISNUMBER(S53)," ",IF(S53="X","X"," "))</f>
        <v xml:space="preserve"> </v>
      </c>
      <c r="U53" s="51" t="str">
        <f t="shared" ref="U53:U55" si="44">IF(ISNUMBER(T53)," ",IF(T53="X","X"," "))</f>
        <v xml:space="preserve"> </v>
      </c>
      <c r="V53" s="51" t="str">
        <f t="shared" ref="V53:V55" si="45">IF(ISNUMBER(U53)," ",IF(U53="X","X"," "))</f>
        <v xml:space="preserve"> </v>
      </c>
      <c r="W53" s="51" t="str">
        <f t="shared" ref="W53:W55" si="46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 x14ac:dyDescent="0.3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18"/>
        <v>0</v>
      </c>
      <c r="O54" s="51"/>
      <c r="P54" s="51" t="str">
        <f t="shared" si="39"/>
        <v xml:space="preserve"> </v>
      </c>
      <c r="Q54" s="51" t="str">
        <f t="shared" si="40"/>
        <v xml:space="preserve"> </v>
      </c>
      <c r="R54" s="51" t="str">
        <f t="shared" si="41"/>
        <v xml:space="preserve"> </v>
      </c>
      <c r="S54" s="51" t="str">
        <f t="shared" si="42"/>
        <v xml:space="preserve"> </v>
      </c>
      <c r="T54" s="51" t="str">
        <f t="shared" si="43"/>
        <v xml:space="preserve"> </v>
      </c>
      <c r="U54" s="51" t="str">
        <f t="shared" si="44"/>
        <v xml:space="preserve"> </v>
      </c>
      <c r="V54" s="51" t="str">
        <f t="shared" si="45"/>
        <v xml:space="preserve"> </v>
      </c>
      <c r="W54" s="51" t="str">
        <f t="shared" si="46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 x14ac:dyDescent="0.3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14"/>
        <v>0</v>
      </c>
      <c r="O55" s="51"/>
      <c r="P55" s="51" t="str">
        <f t="shared" si="39"/>
        <v xml:space="preserve"> </v>
      </c>
      <c r="Q55" s="51" t="str">
        <f t="shared" si="40"/>
        <v xml:space="preserve"> </v>
      </c>
      <c r="R55" s="51" t="str">
        <f t="shared" si="41"/>
        <v xml:space="preserve"> </v>
      </c>
      <c r="S55" s="51" t="str">
        <f t="shared" si="42"/>
        <v xml:space="preserve"> </v>
      </c>
      <c r="T55" s="51" t="str">
        <f t="shared" si="43"/>
        <v xml:space="preserve"> </v>
      </c>
      <c r="U55" s="51" t="str">
        <f t="shared" si="44"/>
        <v xml:space="preserve"> </v>
      </c>
      <c r="V55" s="51" t="str">
        <f t="shared" si="45"/>
        <v xml:space="preserve"> </v>
      </c>
      <c r="W55" s="51" t="str">
        <f t="shared" si="46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 x14ac:dyDescent="0.3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si="14"/>
        <v>0</v>
      </c>
      <c r="O56" s="51"/>
      <c r="P56" s="51" t="str">
        <f t="shared" ref="P56:P59" si="47">IF(ISNUMBER(O56)," ",IF(O56="X","X"," "))</f>
        <v xml:space="preserve"> </v>
      </c>
      <c r="Q56" s="51" t="str">
        <f t="shared" ref="Q56:Q59" si="48">IF(ISNUMBER(P56)," ",IF(P56="X","X"," "))</f>
        <v xml:space="preserve"> </v>
      </c>
      <c r="R56" s="51" t="str">
        <f t="shared" ref="R56:R59" si="49">IF(ISNUMBER(Q56)," ",IF(Q56="X","X"," "))</f>
        <v xml:space="preserve"> </v>
      </c>
      <c r="S56" s="51" t="str">
        <f t="shared" ref="S56:S59" si="50">IF(ISNUMBER(R56)," ",IF(R56="X","X"," "))</f>
        <v xml:space="preserve"> </v>
      </c>
      <c r="T56" s="51" t="str">
        <f t="shared" ref="T56:T59" si="51">IF(ISNUMBER(S56)," ",IF(S56="X","X"," "))</f>
        <v xml:space="preserve"> </v>
      </c>
      <c r="U56" s="51" t="str">
        <f t="shared" ref="U56:U59" si="52">IF(ISNUMBER(T56)," ",IF(T56="X","X"," "))</f>
        <v xml:space="preserve"> </v>
      </c>
      <c r="V56" s="51" t="str">
        <f t="shared" ref="V56:V59" si="53">IF(ISNUMBER(U56)," ",IF(U56="X","X"," "))</f>
        <v xml:space="preserve"> </v>
      </c>
      <c r="W56" s="51" t="str">
        <f t="shared" ref="W56:W59" si="54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 ht="13.9" x14ac:dyDescent="0.3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18"/>
        <v>0</v>
      </c>
      <c r="O57" s="51"/>
      <c r="P57" s="51" t="str">
        <f t="shared" si="47"/>
        <v xml:space="preserve"> </v>
      </c>
      <c r="Q57" s="51" t="str">
        <f t="shared" si="48"/>
        <v xml:space="preserve"> </v>
      </c>
      <c r="R57" s="51" t="str">
        <f t="shared" si="49"/>
        <v xml:space="preserve"> </v>
      </c>
      <c r="S57" s="51" t="str">
        <f t="shared" si="50"/>
        <v xml:space="preserve"> </v>
      </c>
      <c r="T57" s="51" t="str">
        <f t="shared" si="51"/>
        <v xml:space="preserve"> </v>
      </c>
      <c r="U57" s="51" t="str">
        <f t="shared" si="52"/>
        <v xml:space="preserve"> </v>
      </c>
      <c r="V57" s="51" t="str">
        <f t="shared" si="53"/>
        <v xml:space="preserve"> </v>
      </c>
      <c r="W57" s="51" t="str">
        <f t="shared" si="54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3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18"/>
        <v>0</v>
      </c>
      <c r="O58" s="51"/>
      <c r="P58" s="51" t="str">
        <f t="shared" si="47"/>
        <v xml:space="preserve"> </v>
      </c>
      <c r="Q58" s="51" t="str">
        <f t="shared" si="48"/>
        <v xml:space="preserve"> </v>
      </c>
      <c r="R58" s="51" t="str">
        <f t="shared" si="49"/>
        <v xml:space="preserve"> </v>
      </c>
      <c r="S58" s="51" t="str">
        <f t="shared" si="50"/>
        <v xml:space="preserve"> </v>
      </c>
      <c r="T58" s="51" t="str">
        <f t="shared" si="51"/>
        <v xml:space="preserve"> </v>
      </c>
      <c r="U58" s="51" t="str">
        <f t="shared" si="52"/>
        <v xml:space="preserve"> </v>
      </c>
      <c r="V58" s="51" t="str">
        <f t="shared" si="53"/>
        <v xml:space="preserve"> </v>
      </c>
      <c r="W58" s="51" t="str">
        <f t="shared" si="54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ht="13.9" x14ac:dyDescent="0.3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14"/>
        <v>0</v>
      </c>
      <c r="O59" s="51"/>
      <c r="P59" s="51" t="str">
        <f t="shared" si="47"/>
        <v xml:space="preserve"> </v>
      </c>
      <c r="Q59" s="51" t="str">
        <f t="shared" si="48"/>
        <v xml:space="preserve"> </v>
      </c>
      <c r="R59" s="51" t="str">
        <f t="shared" si="49"/>
        <v xml:space="preserve"> </v>
      </c>
      <c r="S59" s="51" t="str">
        <f t="shared" si="50"/>
        <v xml:space="preserve"> </v>
      </c>
      <c r="T59" s="51" t="str">
        <f t="shared" si="51"/>
        <v xml:space="preserve"> </v>
      </c>
      <c r="U59" s="51" t="str">
        <f t="shared" si="52"/>
        <v xml:space="preserve"> </v>
      </c>
      <c r="V59" s="51" t="str">
        <f t="shared" si="53"/>
        <v xml:space="preserve"> </v>
      </c>
      <c r="W59" s="51" t="str">
        <f t="shared" si="54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ht="13.9" x14ac:dyDescent="0.3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5">SUM(S3:S51)</f>
        <v>33.950000000000003</v>
      </c>
      <c r="T60" s="56">
        <f t="shared" si="55"/>
        <v>6.75</v>
      </c>
      <c r="U60" s="56">
        <f t="shared" si="55"/>
        <v>0</v>
      </c>
      <c r="V60" s="56">
        <f t="shared" si="55"/>
        <v>0</v>
      </c>
      <c r="W60" s="56">
        <f t="shared" si="55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ht="13.9" x14ac:dyDescent="0.3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4.45" x14ac:dyDescent="0.3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6">IF(OR(ISBLANK(O2),O2=$X$2),"",O2)</f>
        <v>41372</v>
      </c>
      <c r="O62" s="27">
        <f t="shared" si="56"/>
        <v>41379</v>
      </c>
      <c r="P62" s="27">
        <f t="shared" si="56"/>
        <v>41386</v>
      </c>
      <c r="Q62" s="27">
        <f t="shared" si="56"/>
        <v>41393</v>
      </c>
      <c r="R62" s="27">
        <f t="shared" si="56"/>
        <v>41407</v>
      </c>
      <c r="S62" s="27">
        <f t="shared" si="56"/>
        <v>41414</v>
      </c>
      <c r="T62" s="27">
        <f t="shared" si="56"/>
        <v>41421</v>
      </c>
      <c r="U62" s="27">
        <f t="shared" si="56"/>
        <v>41428</v>
      </c>
      <c r="V62" s="27">
        <f t="shared" si="56"/>
        <v>41435</v>
      </c>
      <c r="W62" s="27" t="str">
        <f t="shared" si="56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7">IF(O62="","",N63)</f>
        <v>296</v>
      </c>
      <c r="P63" s="50">
        <f t="shared" si="57"/>
        <v>296</v>
      </c>
      <c r="Q63" s="50">
        <f t="shared" si="57"/>
        <v>296</v>
      </c>
      <c r="R63" s="50">
        <f t="shared" si="57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 x14ac:dyDescent="0.2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209.25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 x14ac:dyDescent="0.2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/>
      <c r="T65" s="6"/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 x14ac:dyDescent="0.2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/>
      <c r="T66" s="6"/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5.75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58">O2</f>
        <v>41372</v>
      </c>
      <c r="P69" s="39">
        <f t="shared" si="58"/>
        <v>41379</v>
      </c>
      <c r="Q69" s="39">
        <f t="shared" si="58"/>
        <v>41386</v>
      </c>
      <c r="R69" s="39">
        <f t="shared" si="58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156.94999999999999</v>
      </c>
      <c r="O70" s="37">
        <f t="shared" ref="O70:W71" si="59">SUMIF($F$3:$F$41,$M70,O$3:O$41)</f>
        <v>0</v>
      </c>
      <c r="P70" s="37">
        <f t="shared" si="59"/>
        <v>0</v>
      </c>
      <c r="Q70" s="37">
        <f t="shared" si="59"/>
        <v>0</v>
      </c>
      <c r="R70" s="37">
        <f t="shared" si="59"/>
        <v>0</v>
      </c>
      <c r="S70" s="37">
        <f t="shared" si="59"/>
        <v>0</v>
      </c>
      <c r="T70" s="37">
        <f t="shared" si="59"/>
        <v>0</v>
      </c>
      <c r="U70" s="37">
        <f t="shared" si="59"/>
        <v>0</v>
      </c>
      <c r="V70" s="37">
        <f t="shared" si="59"/>
        <v>0</v>
      </c>
      <c r="W70" s="37">
        <f t="shared" si="59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59"/>
        <v>0</v>
      </c>
      <c r="P71" s="37">
        <f t="shared" si="59"/>
        <v>0</v>
      </c>
      <c r="Q71" s="37">
        <f t="shared" si="59"/>
        <v>0</v>
      </c>
      <c r="R71" s="37">
        <f t="shared" si="59"/>
        <v>0</v>
      </c>
      <c r="S71" s="37">
        <f t="shared" si="59"/>
        <v>0</v>
      </c>
      <c r="T71" s="37">
        <f t="shared" si="59"/>
        <v>0</v>
      </c>
      <c r="U71" s="37">
        <f t="shared" si="59"/>
        <v>0</v>
      </c>
      <c r="V71" s="37">
        <f t="shared" si="59"/>
        <v>0</v>
      </c>
      <c r="W71" s="37">
        <f t="shared" si="59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x14ac:dyDescent="0.2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x14ac:dyDescent="0.2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x14ac:dyDescent="0.2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x14ac:dyDescent="0.2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x14ac:dyDescent="0.2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277.75</v>
      </c>
      <c r="O76" s="37">
        <f t="shared" ref="O76:V77" si="60">SUMIF($F$3:$F$41,$M76,O$3:O$41)</f>
        <v>0</v>
      </c>
      <c r="P76" s="37">
        <f t="shared" si="60"/>
        <v>0</v>
      </c>
      <c r="Q76" s="37">
        <f t="shared" si="60"/>
        <v>0</v>
      </c>
      <c r="R76" s="37">
        <f t="shared" si="60"/>
        <v>0</v>
      </c>
      <c r="S76" s="37">
        <f t="shared" si="60"/>
        <v>0</v>
      </c>
      <c r="T76" s="37">
        <f t="shared" si="60"/>
        <v>0</v>
      </c>
      <c r="U76" s="37">
        <f t="shared" si="60"/>
        <v>0</v>
      </c>
      <c r="V76" s="37">
        <f t="shared" si="60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x14ac:dyDescent="0.2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0"/>
        <v>0</v>
      </c>
      <c r="P77" s="37">
        <f t="shared" si="60"/>
        <v>0</v>
      </c>
      <c r="Q77" s="37">
        <f t="shared" si="60"/>
        <v>0</v>
      </c>
      <c r="R77" s="37">
        <f t="shared" si="60"/>
        <v>0</v>
      </c>
      <c r="S77" s="37">
        <f t="shared" si="60"/>
        <v>0</v>
      </c>
      <c r="T77" s="37">
        <f t="shared" si="60"/>
        <v>0</v>
      </c>
      <c r="U77" s="37">
        <f t="shared" si="60"/>
        <v>0</v>
      </c>
      <c r="V77" s="37">
        <f t="shared" si="60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x14ac:dyDescent="0.2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434.7</v>
      </c>
      <c r="O78" s="48">
        <f t="shared" ref="O78:R78" si="61">SUM(O70:O77)</f>
        <v>0</v>
      </c>
      <c r="P78" s="48">
        <f t="shared" si="61"/>
        <v>0</v>
      </c>
      <c r="Q78" s="48">
        <f t="shared" si="61"/>
        <v>0</v>
      </c>
      <c r="R78" s="48">
        <f t="shared" si="61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x14ac:dyDescent="0.2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x14ac:dyDescent="0.2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x14ac:dyDescent="0.2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29" priority="146" operator="greaterThan">
      <formula>#REF!</formula>
    </cfRule>
    <cfRule type="cellIs" dxfId="28" priority="147" operator="lessThan">
      <formula>#REF!</formula>
    </cfRule>
  </conditionalFormatting>
  <conditionalFormatting sqref="L56:M59 L3:M47">
    <cfRule type="cellIs" dxfId="27" priority="153" operator="greaterThan">
      <formula>G3</formula>
    </cfRule>
    <cfRule type="cellIs" dxfId="26" priority="154" operator="lessThan">
      <formula>G3</formula>
    </cfRule>
  </conditionalFormatting>
  <conditionalFormatting sqref="N3:N59">
    <cfRule type="cellIs" priority="157" stopIfTrue="1" operator="equal">
      <formula>0</formula>
    </cfRule>
    <cfRule type="cellIs" dxfId="25" priority="158" operator="lessThan">
      <formula>K3</formula>
    </cfRule>
    <cfRule type="cellIs" dxfId="24" priority="159" operator="greaterThan">
      <formula>K3</formula>
    </cfRule>
  </conditionalFormatting>
  <conditionalFormatting sqref="O65:W65">
    <cfRule type="cellIs" dxfId="23" priority="51" operator="greaterThan">
      <formula>0</formula>
    </cfRule>
  </conditionalFormatting>
  <conditionalFormatting sqref="O66:W66">
    <cfRule type="cellIs" dxfId="22" priority="50" operator="greaterThan">
      <formula>0</formula>
    </cfRule>
  </conditionalFormatting>
  <conditionalFormatting sqref="G56:H59 G51:H52 G49:H49 G3:H47">
    <cfRule type="expression" dxfId="21" priority="40">
      <formula>FormulaInCell</formula>
    </cfRule>
  </conditionalFormatting>
  <conditionalFormatting sqref="O3:W59">
    <cfRule type="cellIs" dxfId="20" priority="47" operator="equal">
      <formula>"X"</formula>
    </cfRule>
    <cfRule type="cellIs" dxfId="19" priority="48" operator="greaterThan">
      <formula>0</formula>
    </cfRule>
    <cfRule type="expression" dxfId="18" priority="49">
      <formula>AND(O$2&gt;=$G3,O$2&lt;$H3,ISNUMBER(O3))</formula>
    </cfRule>
    <cfRule type="expression" dxfId="17" priority="52">
      <formula>AND(O$2&gt;=$G3,O$2&lt;$H3)</formula>
    </cfRule>
    <cfRule type="expression" dxfId="16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5" priority="31" operator="lessThan">
      <formula>$K$61</formula>
    </cfRule>
    <cfRule type="cellIs" dxfId="14" priority="32" operator="greaterThan">
      <formula>$K$61</formula>
    </cfRule>
  </conditionalFormatting>
  <conditionalFormatting sqref="O63:W63">
    <cfRule type="expression" dxfId="13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2" priority="23" operator="greaterThan">
      <formula>#REF!</formula>
    </cfRule>
    <cfRule type="cellIs" dxfId="11" priority="24" operator="lessThan">
      <formula>#REF!</formula>
    </cfRule>
  </conditionalFormatting>
  <conditionalFormatting sqref="L53:M55">
    <cfRule type="cellIs" dxfId="10" priority="25" operator="greaterThan">
      <formula>G53</formula>
    </cfRule>
    <cfRule type="cellIs" dxfId="9" priority="26" operator="lessThan">
      <formula>G53</formula>
    </cfRule>
  </conditionalFormatting>
  <conditionalFormatting sqref="G48:H48 G53:H55">
    <cfRule type="expression" dxfId="8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7" priority="9" operator="greaterThan">
      <formula>#REF!</formula>
    </cfRule>
    <cfRule type="cellIs" dxfId="6" priority="10" operator="lessThan">
      <formula>#REF!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Q19" sqref="Q19"/>
    </sheetView>
  </sheetViews>
  <sheetFormatPr defaultRowHeight="15" x14ac:dyDescent="0.25"/>
  <cols>
    <col min="1" max="8" width="10" customWidth="1"/>
  </cols>
  <sheetData>
    <row r="1" spans="1:19" ht="14.45" x14ac:dyDescent="0.3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ht="14.45" x14ac:dyDescent="0.3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ht="14.45" x14ac:dyDescent="0.3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ht="14.45" x14ac:dyDescent="0.3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ht="14.45" x14ac:dyDescent="0.3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ht="14.45" x14ac:dyDescent="0.3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ht="14.45" x14ac:dyDescent="0.3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ht="14.45" x14ac:dyDescent="0.3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ht="14.45" x14ac:dyDescent="0.3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ht="14.45" x14ac:dyDescent="0.3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ht="14.45" x14ac:dyDescent="0.3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ht="14.45" x14ac:dyDescent="0.3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ht="14.45" x14ac:dyDescent="0.3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ht="14.45" x14ac:dyDescent="0.3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ht="14.45" x14ac:dyDescent="0.3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ht="14.45" x14ac:dyDescent="0.3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ht="14.45" x14ac:dyDescent="0.3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ht="14.45" x14ac:dyDescent="0.3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ht="14.45" x14ac:dyDescent="0.3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ht="14.45" x14ac:dyDescent="0.3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ht="14.45" x14ac:dyDescent="0.3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ht="14.45" x14ac:dyDescent="0.3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ht="14.45" x14ac:dyDescent="0.3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ht="14.45" x14ac:dyDescent="0.3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ht="14.45" x14ac:dyDescent="0.3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ht="14.45" x14ac:dyDescent="0.3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ht="14.45" x14ac:dyDescent="0.3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ht="14.45" x14ac:dyDescent="0.3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ht="14.45" x14ac:dyDescent="0.3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ht="14.45" x14ac:dyDescent="0.3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ht="14.45" x14ac:dyDescent="0.3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ht="14.45" x14ac:dyDescent="0.3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ht="14.45" x14ac:dyDescent="0.3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ht="14.45" x14ac:dyDescent="0.3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4.45" x14ac:dyDescent="0.3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4.45" x14ac:dyDescent="0.3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ht="14.45" x14ac:dyDescent="0.3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ht="14.45" x14ac:dyDescent="0.3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ht="14.45" x14ac:dyDescent="0.3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ht="14.45" x14ac:dyDescent="0.3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ht="14.45" x14ac:dyDescent="0.3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Carla Silva Machado</cp:lastModifiedBy>
  <dcterms:created xsi:type="dcterms:W3CDTF">2009-04-24T00:02:24Z</dcterms:created>
  <dcterms:modified xsi:type="dcterms:W3CDTF">2013-05-25T17:27:07Z</dcterms:modified>
</cp:coreProperties>
</file>