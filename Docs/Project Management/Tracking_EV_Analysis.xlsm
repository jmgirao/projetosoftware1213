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D:\REPOSITORIOS\ISEC_REP\2º Semestre\PS\trunk\Docs\Project Management\"/>
    </mc:Choice>
  </mc:AlternateContent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52511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N3" i="2" l="1"/>
  <c r="O51" i="2" l="1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L38" i="2" a="1"/>
  <c r="L38" i="2" s="1"/>
  <c r="L17" i="2" a="1"/>
  <c r="L17" i="2" s="1"/>
  <c r="L18" i="2" a="1"/>
  <c r="L18" i="2" s="1"/>
  <c r="L19" i="2" a="1"/>
  <c r="L19" i="2" s="1"/>
  <c r="L20" i="2" a="1"/>
  <c r="L20" i="2" s="1"/>
  <c r="L21" i="2" a="1"/>
  <c r="L21" i="2" s="1"/>
  <c r="L22" i="2" a="1"/>
  <c r="L22" i="2" s="1"/>
  <c r="L23" i="2" a="1"/>
  <c r="L23" i="2" s="1"/>
  <c r="L24" i="2" a="1"/>
  <c r="L24" i="2" s="1"/>
  <c r="L25" i="2" a="1"/>
  <c r="L25" i="2" s="1"/>
  <c r="L26" i="2" a="1"/>
  <c r="L26" i="2" s="1"/>
  <c r="L27" i="2" a="1"/>
  <c r="L27" i="2" s="1"/>
  <c r="L28" i="2" a="1"/>
  <c r="L28" i="2" s="1"/>
  <c r="L29" i="2" a="1"/>
  <c r="L29" i="2" s="1"/>
  <c r="L30" i="2" a="1"/>
  <c r="L30" i="2" s="1"/>
  <c r="L31" i="2" a="1"/>
  <c r="L31" i="2" s="1"/>
  <c r="L32" i="2" a="1"/>
  <c r="L32" i="2" s="1"/>
  <c r="L33" i="2" a="1"/>
  <c r="L33" i="2" s="1"/>
  <c r="L34" i="2" a="1"/>
  <c r="L34" i="2" s="1"/>
  <c r="L35" i="2" a="1"/>
  <c r="L35" i="2" s="1"/>
  <c r="L36" i="2" a="1"/>
  <c r="L36" i="2" s="1"/>
  <c r="L37" i="2" a="1"/>
  <c r="L37" i="2" s="1"/>
  <c r="L7" i="2" a="1"/>
  <c r="L7" i="2" s="1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7" i="2" l="1"/>
  <c r="Q3" i="2"/>
  <c r="R3" i="2" s="1"/>
  <c r="S3" i="2" s="1"/>
  <c r="L4" i="2" a="1"/>
  <c r="L4" i="2" s="1"/>
  <c r="N4" i="2"/>
  <c r="N5" i="2"/>
  <c r="N6" i="2"/>
  <c r="N8" i="2"/>
  <c r="N9" i="2"/>
  <c r="N10" i="2"/>
  <c r="N11" i="2"/>
  <c r="L5" i="2" a="1"/>
  <c r="L5" i="2" s="1"/>
  <c r="L6" i="2" a="1"/>
  <c r="L6" i="2" s="1"/>
  <c r="L8" i="2" a="1"/>
  <c r="L8" i="2" s="1"/>
  <c r="L9" i="2" a="1"/>
  <c r="L9" i="2" s="1"/>
  <c r="L10" i="2" a="1"/>
  <c r="L10" i="2" s="1"/>
  <c r="L11" i="2" a="1"/>
  <c r="L11" i="2" s="1"/>
  <c r="O46" i="2" l="1"/>
  <c r="W42" i="2"/>
  <c r="O40" i="2"/>
  <c r="S12" i="2"/>
  <c r="T12" i="2" s="1"/>
  <c r="U12" i="2" s="1"/>
  <c r="V12" i="2" s="1"/>
  <c r="S13" i="2"/>
  <c r="T13" i="2" s="1"/>
  <c r="U13" i="2" s="1"/>
  <c r="V13" i="2" s="1"/>
  <c r="S15" i="2"/>
  <c r="T15" i="2" s="1"/>
  <c r="U15" i="2" s="1"/>
  <c r="V15" i="2" s="1"/>
  <c r="W15" i="2" s="1"/>
  <c r="S16" i="2"/>
  <c r="T16" i="2" s="1"/>
  <c r="U16" i="2" s="1"/>
  <c r="V16" i="2" s="1"/>
  <c r="W16" i="2" s="1"/>
  <c r="G39" i="2"/>
  <c r="O2" i="2"/>
  <c r="H39" i="2"/>
  <c r="P15" i="2"/>
  <c r="Q15" i="2" s="1"/>
  <c r="P16" i="2"/>
  <c r="P31" i="2"/>
  <c r="S31" i="2" s="1"/>
  <c r="T31" i="2" s="1"/>
  <c r="U31" i="2" s="1"/>
  <c r="V31" i="2" s="1"/>
  <c r="W31" i="2" s="1"/>
  <c r="P32" i="2"/>
  <c r="Q32" i="2" s="1"/>
  <c r="R32" i="2" s="1"/>
  <c r="S32" i="2" s="1"/>
  <c r="T32" i="2" s="1"/>
  <c r="U32" i="2" s="1"/>
  <c r="V32" i="2" s="1"/>
  <c r="W32" i="2" s="1"/>
  <c r="P33" i="2"/>
  <c r="Q33" i="2" s="1"/>
  <c r="R33" i="2" s="1"/>
  <c r="S33" i="2" s="1"/>
  <c r="T33" i="2" s="1"/>
  <c r="U33" i="2" s="1"/>
  <c r="V33" i="2" s="1"/>
  <c r="W33" i="2" s="1"/>
  <c r="P34" i="2"/>
  <c r="Q34" i="2" s="1"/>
  <c r="R34" i="2" s="1"/>
  <c r="S34" i="2" s="1"/>
  <c r="T34" i="2" s="1"/>
  <c r="U34" i="2" s="1"/>
  <c r="V34" i="2" s="1"/>
  <c r="W34" i="2" s="1"/>
  <c r="P35" i="2"/>
  <c r="Q35" i="2" s="1"/>
  <c r="R35" i="2" s="1"/>
  <c r="S35" i="2" s="1"/>
  <c r="T35" i="2" s="1"/>
  <c r="U35" i="2" s="1"/>
  <c r="V35" i="2" s="1"/>
  <c r="W35" i="2" s="1"/>
  <c r="P36" i="2"/>
  <c r="Q36" i="2" s="1"/>
  <c r="R36" i="2" s="1"/>
  <c r="S36" i="2" s="1"/>
  <c r="T36" i="2" s="1"/>
  <c r="U36" i="2" s="1"/>
  <c r="V36" i="2" s="1"/>
  <c r="W36" i="2" s="1"/>
  <c r="P37" i="2"/>
  <c r="Q37" i="2" s="1"/>
  <c r="R37" i="2" s="1"/>
  <c r="S37" i="2" s="1"/>
  <c r="T37" i="2" s="1"/>
  <c r="U37" i="2" s="1"/>
  <c r="V37" i="2" s="1"/>
  <c r="O57" i="2"/>
  <c r="P57" i="2"/>
  <c r="Q57" i="2"/>
  <c r="R57" i="2"/>
  <c r="S57" i="2"/>
  <c r="T57" i="2"/>
  <c r="U57" i="2"/>
  <c r="V57" i="2"/>
  <c r="W57" i="2"/>
  <c r="P39" i="2"/>
  <c r="N42" i="2" l="1"/>
  <c r="T14" i="2"/>
  <c r="T3" i="2"/>
  <c r="W12" i="2"/>
  <c r="W37" i="2"/>
  <c r="W13" i="2"/>
  <c r="N57" i="2"/>
  <c r="Q39" i="2"/>
  <c r="R39" i="2" s="1"/>
  <c r="K43" i="2"/>
  <c r="S39" i="2" l="1"/>
  <c r="T39" i="2" s="1"/>
  <c r="U39" i="2" s="1"/>
  <c r="V39" i="2" s="1"/>
  <c r="W39" i="2" s="1"/>
  <c r="N39" i="2" s="1"/>
  <c r="U14" i="2"/>
  <c r="U3" i="2"/>
  <c r="M39" i="2" l="1"/>
  <c r="L39" i="2" a="1"/>
  <c r="L39" i="2" s="1"/>
  <c r="V14" i="2"/>
  <c r="V3" i="2"/>
  <c r="W14" i="2" l="1"/>
  <c r="W3" i="2"/>
  <c r="O50" i="2"/>
  <c r="O56" i="2"/>
  <c r="P38" i="2"/>
  <c r="P40" i="2" s="1"/>
  <c r="O45" i="2" l="1"/>
  <c r="P46" i="2"/>
  <c r="Q38" i="2"/>
  <c r="Q56" i="2"/>
  <c r="P50" i="2"/>
  <c r="O58" i="2"/>
  <c r="N13" i="2"/>
  <c r="N35" i="2"/>
  <c r="N33" i="2"/>
  <c r="N32" i="2"/>
  <c r="N15" i="2"/>
  <c r="P51" i="2"/>
  <c r="P56" i="2"/>
  <c r="P45" i="2" l="1"/>
  <c r="Q40" i="2"/>
  <c r="Q46" i="2"/>
  <c r="Q50" i="2"/>
  <c r="R38" i="2"/>
  <c r="P58" i="2"/>
  <c r="R56" i="2"/>
  <c r="N34" i="2"/>
  <c r="N37" i="2"/>
  <c r="Q51" i="2"/>
  <c r="R50" i="2"/>
  <c r="N16" i="2"/>
  <c r="N36" i="2"/>
  <c r="Q58" i="2" l="1"/>
  <c r="Q45" i="2"/>
  <c r="R40" i="2"/>
  <c r="R46" i="2"/>
  <c r="S38" i="2"/>
  <c r="S50" i="2" s="1"/>
  <c r="S56" i="2"/>
  <c r="R51" i="2"/>
  <c r="R58" i="2" s="1"/>
  <c r="R45" i="2" l="1"/>
  <c r="S40" i="2"/>
  <c r="T38" i="2"/>
  <c r="T40" i="2" s="1"/>
  <c r="S51" i="2"/>
  <c r="S58" i="2" s="1"/>
  <c r="T56" i="2"/>
  <c r="T50" i="2" l="1"/>
  <c r="U38" i="2"/>
  <c r="U40" i="2" s="1"/>
  <c r="U50" i="2"/>
  <c r="U56" i="2"/>
  <c r="T51" i="2"/>
  <c r="T58" i="2" l="1"/>
  <c r="V38" i="2"/>
  <c r="V40" i="2" s="1"/>
  <c r="V56" i="2"/>
  <c r="U51" i="2"/>
  <c r="U58" i="2" s="1"/>
  <c r="V50" i="2" l="1"/>
  <c r="W38" i="2"/>
  <c r="W40" i="2" s="1"/>
  <c r="N14" i="2"/>
  <c r="V51" i="2"/>
  <c r="V58" i="2" l="1"/>
  <c r="W50" i="2"/>
  <c r="N38" i="2"/>
  <c r="W51" i="2"/>
  <c r="W58" i="2" l="1"/>
  <c r="N56" i="2"/>
  <c r="N31" i="2"/>
  <c r="N50" i="2" l="1"/>
  <c r="N51" i="2"/>
  <c r="N12" i="2"/>
  <c r="N58" i="2" l="1"/>
  <c r="P2" i="2" l="1"/>
  <c r="L12" i="2" a="1"/>
  <c r="L12" i="2" s="1"/>
  <c r="M3" i="2"/>
  <c r="O49" i="2"/>
  <c r="L3" i="2" a="1"/>
  <c r="L3" i="2" s="1"/>
  <c r="O42" i="2" l="1"/>
  <c r="O43" i="2" s="1"/>
  <c r="L13" i="2" a="1"/>
  <c r="L13" i="2" s="1"/>
  <c r="Q2" i="2"/>
  <c r="P49" i="2"/>
  <c r="P42" i="2" l="1"/>
  <c r="P43" i="2" s="1"/>
  <c r="L16" i="2" a="1"/>
  <c r="L16" i="2" s="1"/>
  <c r="L14" i="2" a="1"/>
  <c r="L14" i="2" s="1"/>
  <c r="Q49" i="2"/>
  <c r="R2" i="2"/>
  <c r="Q42" i="2" s="1"/>
  <c r="Q43" i="2" l="1"/>
  <c r="M63" i="2"/>
  <c r="S2" i="2"/>
  <c r="R49" i="2"/>
  <c r="R42" i="2" l="1"/>
  <c r="R43" i="2" s="1"/>
  <c r="T2" i="2"/>
  <c r="S49" i="2"/>
  <c r="S42" i="2" l="1"/>
  <c r="S43" i="2" s="1"/>
  <c r="T49" i="2"/>
  <c r="U2" i="2"/>
  <c r="T42" i="2" l="1"/>
  <c r="T43" i="2" s="1"/>
  <c r="V2" i="2"/>
  <c r="L15" i="2" a="1"/>
  <c r="L15" i="2" s="1"/>
  <c r="U49" i="2"/>
  <c r="W2" i="2" l="1"/>
  <c r="J40" i="2" s="1"/>
  <c r="U42" i="2"/>
  <c r="U43" i="2" s="1"/>
  <c r="V49" i="2"/>
  <c r="V42" i="2" l="1"/>
  <c r="K41" i="2"/>
  <c r="G38" i="2" l="1"/>
  <c r="H38" i="2" s="1"/>
  <c r="J43" i="2" l="1"/>
  <c r="N44" i="2"/>
  <c r="O44" i="2" s="1" a="1"/>
  <c r="O44" i="2" s="1"/>
  <c r="P44" i="2" s="1" a="1"/>
  <c r="P44" i="2" s="1"/>
  <c r="Q44" i="2" s="1" a="1"/>
  <c r="Q44" i="2" s="1"/>
  <c r="R44" i="2" s="1" a="1"/>
  <c r="R44" i="2" s="1"/>
  <c r="S44" i="2" s="1" a="1"/>
  <c r="S44" i="2" s="1"/>
  <c r="T44" i="2" s="1" a="1"/>
  <c r="T44" i="2" s="1"/>
  <c r="U44" i="2" s="1" a="1"/>
  <c r="U44" i="2" s="1"/>
</calcChain>
</file>

<file path=xl/comments1.xml><?xml version="1.0" encoding="utf-8"?>
<comments xmlns="http://schemas.openxmlformats.org/spreadsheetml/2006/main">
  <authors>
    <author>João Cunha</author>
  </authors>
  <commentList>
    <comment ref="J43" authorId="0" shape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43" authorId="0" shape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<sst xmlns="http://schemas.openxmlformats.org/spreadsheetml/2006/main" count="215" uniqueCount="125">
  <si>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</si>
  <si>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</si>
  <si>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</si>
  <si>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</si>
  <si>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</si>
  <si>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</si>
  <si>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</si>
  <si>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</si>
  <si>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</si>
  <si>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</si>
  <si>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</si>
  <si>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</si>
  <si>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</si>
  <si>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</si>
  <si>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</si>
  <si>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</si>
  <si>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</si>
  <si>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</si>
  <si>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</si>
  <si>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</si>
  <si>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</si>
  <si>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</si>
  <si>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</si>
  <si>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</si>
  <si>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</si>
  <si>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</si>
  <si>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</si>
  <si>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</si>
  <si>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</si>
  <si>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</si>
  <si>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</si>
  <si>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</si>
  <si>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</si>
  <si>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</si>
  <si>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</si>
  <si>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</si>
  <si>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</si>
  <si>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</si>
  <si>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</si>
  <si>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</si>
  <si>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</si>
  <si>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</si>
  <si>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</si>
  <si>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</si>
  <si>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</si>
  <si>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</si>
  <si>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</si>
  <si>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</si>
  <si>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</si>
  <si>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</si>
  <si>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</si>
  <si>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</si>
  <si>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</si>
  <si>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</si>
  <si>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</si>
  <si>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</si>
  <si>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</si>
  <si>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</si>
  <si>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</si>
  <si>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</si>
  <si>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</si>
  <si>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</si>
  <si>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</si>
  <si>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</si>
  <si>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</si>
  <si>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</si>
  <si>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</si>
  <si>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</si>
  <si>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</si>
  <si>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</si>
  <si>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</si>
  <si>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</si>
  <si>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</si>
  <si>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</si>
  <si>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</si>
  <si>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</si>
  <si>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</si>
  <si>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</si>
  <si>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</si>
  <si>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</si>
  <si>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</si>
  <si>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</si>
  <si>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</si>
  <si>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</si>
  <si>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</si>
  <si>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</si>
  <si>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</si>
  <si>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</si>
  <si>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</si>
  <si>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</si>
  <si>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</si>
  <si>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</si>
  <si>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</si>
  <si>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</si>
  <si>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</si>
  <si>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</si>
  <si>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</si>
  <si>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</si>
  <si>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</si>
  <si>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</si>
  <si>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</si>
  <si>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</si>
  <si>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</si>
  <si>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</si>
  <si>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</si>
  <si>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</si>
  <si>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</si>
  <si>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</si>
  <si>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</si>
  <si>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</si>
  <si>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</si>
  <si>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</si>
  <si>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</si>
  <si>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FB;CM;RG</t>
  </si>
  <si>
    <t>JG;MO</t>
  </si>
  <si>
    <t>DJ; JM</t>
  </si>
  <si>
    <t>JG; MO</t>
  </si>
  <si>
    <t>CM; FB; DJ; JM; RG</t>
  </si>
  <si>
    <t>FB;JM</t>
  </si>
  <si>
    <t>MO</t>
  </si>
  <si>
    <t>CM; FB</t>
  </si>
  <si>
    <t>DJ; JG; MO</t>
  </si>
  <si>
    <t>CM; DJ; FB; JG; JM; MO; RG</t>
  </si>
  <si>
    <t>X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</si>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</sst>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4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19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2290719630195478"/>
          <c:y val="0.12626359758127659"/>
          <c:w val="0.52507290320053279"/>
          <c:h val="0.66258239843913314"/>
        </c:manualLayout>
      </c:layout>
      <c:lineChart>
        <c:grouping val="standard"/>
        <c:varyColors val="0"/>
        <c:ser>
          <c:idx val="1"/>
          <c:order val="0"/>
          <c:tx>
            <c:strRef>
              <c:f>'Project Tracking'!$C$43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Tracking'!$N$43:$W$43</c:f>
              <c:numCache>
                <c:formatCode>General</c:formatCode>
                <c:ptCount val="10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'Project Tracking'!$C$44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Tracking'!$N$44:$W$44</c:f>
              <c:numCache>
                <c:formatCode>General</c:formatCode>
                <c:ptCount val="10"/>
                <c:pt idx="0">
                  <c:v>0</c:v>
                </c:pt>
                <c:pt idx="1">
                  <c:v>26</c:v>
                </c:pt>
                <c:pt idx="2">
                  <c:v>26</c:v>
                </c:pt>
                <c:pt idx="3">
                  <c:v>75.75</c:v>
                </c:pt>
                <c:pt idx="4">
                  <c:v>135.75</c:v>
                </c:pt>
                <c:pt idx="5">
                  <c:v>183.75</c:v>
                </c:pt>
                <c:pt idx="6">
                  <c:v>220.75</c:v>
                </c:pt>
                <c:pt idx="7">
                  <c:v>254.75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'Project Tracking'!$C$45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Tracking'!$N$45:$W$45</c:f>
              <c:numCache>
                <c:formatCode>General</c:formatCode>
                <c:ptCount val="10"/>
                <c:pt idx="0">
                  <c:v>0</c:v>
                </c:pt>
                <c:pt idx="1">
                  <c:v>26</c:v>
                </c:pt>
                <c:pt idx="2">
                  <c:v>13</c:v>
                </c:pt>
                <c:pt idx="3">
                  <c:v>13</c:v>
                </c:pt>
                <c:pt idx="4">
                  <c:v>13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'Project Tracking'!$C$46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Tracking'!$N$42:$W$42</c:f>
              <c:strCache>
                <c:ptCount val="9"/>
                <c:pt idx="0">
                  <c:v>08/04/2013</c:v>
                </c:pt>
                <c:pt idx="1">
                  <c:v>15/04/2013</c:v>
                </c:pt>
                <c:pt idx="2">
                  <c:v>22/04/2013</c:v>
                </c:pt>
                <c:pt idx="3">
                  <c:v>29/04/2013</c:v>
                </c:pt>
                <c:pt idx="4">
                  <c:v>13/05/2013</c:v>
                </c:pt>
                <c:pt idx="5">
                  <c:v>20/05/2013</c:v>
                </c:pt>
                <c:pt idx="6">
                  <c:v>27/05/2013</c:v>
                </c:pt>
                <c:pt idx="7">
                  <c:v>03/06/2013</c:v>
                </c:pt>
                <c:pt idx="8">
                  <c:v>10/06/2013</c:v>
                </c:pt>
              </c:strCache>
            </c:strRef>
          </c:cat>
          <c:val>
            <c:numRef>
              <c:f>'Project Tracking'!$N$46:$W$46</c:f>
              <c:numCache>
                <c:formatCode>General</c:formatCode>
                <c:ptCount val="10"/>
                <c:pt idx="0">
                  <c:v>0</c:v>
                </c:pt>
                <c:pt idx="1">
                  <c:v>21.75</c:v>
                </c:pt>
                <c:pt idx="2">
                  <c:v>21.75</c:v>
                </c:pt>
                <c:pt idx="3">
                  <c:v>21.75</c:v>
                </c:pt>
                <c:pt idx="4">
                  <c:v>21.75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4669576"/>
        <c:axId val="184666440"/>
      </c:lineChart>
      <c:catAx>
        <c:axId val="1846695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4666440"/>
        <c:crosses val="autoZero"/>
        <c:auto val="0"/>
        <c:lblAlgn val="ctr"/>
        <c:lblOffset val="100"/>
        <c:noMultiLvlLbl val="0"/>
      </c:catAx>
      <c:valAx>
        <c:axId val="18466644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846695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48"/>
  <sheetViews>
    <sheetView showGridLines="0" topLeftCell="A16" zoomScaleNormal="100" workbookViewId="0">
      <selection activeCell="B20" sqref="B20"/>
    </sheetView>
  </sheetViews>
  <sheetFormatPr defaultRowHeight="12.75" x14ac:dyDescent="0.2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 x14ac:dyDescent="0.25"/>
    <row r="2" spans="2:2" ht="13.5" thickBot="1" x14ac:dyDescent="0.25">
      <c r="B2" s="9" t="s">
        <v>25</v>
      </c>
    </row>
    <row r="3" spans="2:2" x14ac:dyDescent="0.2">
      <c r="B3" s="14"/>
    </row>
    <row r="4" spans="2:2" x14ac:dyDescent="0.2">
      <c r="B4" s="15" t="s">
        <v>40</v>
      </c>
    </row>
    <row r="5" spans="2:2" x14ac:dyDescent="0.2">
      <c r="B5" s="7" t="s">
        <v>41</v>
      </c>
    </row>
    <row r="6" spans="2:2" x14ac:dyDescent="0.2">
      <c r="B6" s="7" t="s">
        <v>42</v>
      </c>
    </row>
    <row r="7" spans="2:2" x14ac:dyDescent="0.2">
      <c r="B7" s="7" t="s">
        <v>62</v>
      </c>
    </row>
    <row r="8" spans="2:2" x14ac:dyDescent="0.2">
      <c r="B8" s="7" t="s">
        <v>43</v>
      </c>
    </row>
    <row r="9" spans="2:2" x14ac:dyDescent="0.2">
      <c r="B9" s="7" t="s">
        <v>44</v>
      </c>
    </row>
    <row r="10" spans="2:2" x14ac:dyDescent="0.2">
      <c r="B10" s="7" t="s">
        <v>45</v>
      </c>
    </row>
    <row r="11" spans="2:2" x14ac:dyDescent="0.2">
      <c r="B11" s="7" t="s">
        <v>46</v>
      </c>
    </row>
    <row r="12" spans="2:2" x14ac:dyDescent="0.2">
      <c r="B12" s="7" t="s">
        <v>47</v>
      </c>
    </row>
    <row r="13" spans="2:2" x14ac:dyDescent="0.2">
      <c r="B13" s="7"/>
    </row>
    <row r="14" spans="2:2" x14ac:dyDescent="0.2">
      <c r="B14" s="15" t="s">
        <v>30</v>
      </c>
    </row>
    <row r="15" spans="2:2" x14ac:dyDescent="0.2">
      <c r="B15" s="7" t="s">
        <v>37</v>
      </c>
    </row>
    <row r="16" spans="2:2" x14ac:dyDescent="0.2">
      <c r="B16" s="7" t="s">
        <v>57</v>
      </c>
    </row>
    <row r="17" spans="2:2" x14ac:dyDescent="0.2">
      <c r="B17" s="7" t="s">
        <v>38</v>
      </c>
    </row>
    <row r="18" spans="2:2" x14ac:dyDescent="0.2">
      <c r="B18" s="7" t="s">
        <v>39</v>
      </c>
    </row>
    <row r="19" spans="2:2" x14ac:dyDescent="0.2">
      <c r="B19" s="7" t="s">
        <v>63</v>
      </c>
    </row>
    <row r="20" spans="2:2" x14ac:dyDescent="0.2">
      <c r="B20" s="7" t="s">
        <v>64</v>
      </c>
    </row>
    <row r="21" spans="2:2" x14ac:dyDescent="0.2">
      <c r="B21" s="7" t="s">
        <v>48</v>
      </c>
    </row>
    <row r="22" spans="2:2" x14ac:dyDescent="0.2">
      <c r="B22" s="7"/>
    </row>
    <row r="23" spans="2:2" x14ac:dyDescent="0.2">
      <c r="B23" s="67" t="s">
        <v>68</v>
      </c>
    </row>
    <row r="24" spans="2:2" x14ac:dyDescent="0.2">
      <c r="B24" s="7"/>
    </row>
    <row r="25" spans="2:2" x14ac:dyDescent="0.2">
      <c r="B25" s="15" t="s">
        <v>14</v>
      </c>
    </row>
    <row r="26" spans="2:2" x14ac:dyDescent="0.2">
      <c r="B26" s="7" t="s">
        <v>65</v>
      </c>
    </row>
    <row r="27" spans="2:2" x14ac:dyDescent="0.2">
      <c r="B27" s="7" t="s">
        <v>66</v>
      </c>
    </row>
    <row r="28" spans="2:2" x14ac:dyDescent="0.2">
      <c r="B28" s="7" t="s">
        <v>33</v>
      </c>
    </row>
    <row r="29" spans="2:2" x14ac:dyDescent="0.2">
      <c r="B29" s="7" t="s">
        <v>49</v>
      </c>
    </row>
    <row r="30" spans="2:2" x14ac:dyDescent="0.2">
      <c r="B30" s="7"/>
    </row>
    <row r="31" spans="2:2" x14ac:dyDescent="0.2">
      <c r="B31" s="15" t="s">
        <v>29</v>
      </c>
    </row>
    <row r="32" spans="2:2" x14ac:dyDescent="0.2">
      <c r="B32" s="7" t="s">
        <v>50</v>
      </c>
    </row>
    <row r="33" spans="2:2" x14ac:dyDescent="0.2">
      <c r="B33" s="7" t="s">
        <v>67</v>
      </c>
    </row>
    <row r="34" spans="2:2" x14ac:dyDescent="0.2">
      <c r="B34" s="7" t="s">
        <v>52</v>
      </c>
    </row>
    <row r="35" spans="2:2" x14ac:dyDescent="0.2">
      <c r="B35" s="7" t="s">
        <v>51</v>
      </c>
    </row>
    <row r="36" spans="2:2" x14ac:dyDescent="0.2">
      <c r="B36" s="7" t="s">
        <v>53</v>
      </c>
    </row>
    <row r="37" spans="2:2" x14ac:dyDescent="0.2">
      <c r="B37" s="7" t="s">
        <v>56</v>
      </c>
    </row>
    <row r="38" spans="2:2" x14ac:dyDescent="0.2">
      <c r="B38" s="7" t="s">
        <v>54</v>
      </c>
    </row>
    <row r="39" spans="2:2" ht="13.5" thickBot="1" x14ac:dyDescent="0.25">
      <c r="B39" s="8"/>
    </row>
    <row r="40" spans="2:2" ht="13.5" thickBot="1" x14ac:dyDescent="0.25"/>
    <row r="41" spans="2:2" x14ac:dyDescent="0.2">
      <c r="B41" s="9" t="s">
        <v>22</v>
      </c>
    </row>
    <row r="42" spans="2:2" x14ac:dyDescent="0.2">
      <c r="B42" s="10" t="s">
        <v>55</v>
      </c>
    </row>
    <row r="43" spans="2:2" x14ac:dyDescent="0.2">
      <c r="B43" s="11" t="s">
        <v>34</v>
      </c>
    </row>
    <row r="44" spans="2:2" x14ac:dyDescent="0.2">
      <c r="B44" s="12" t="s">
        <v>24</v>
      </c>
    </row>
    <row r="45" spans="2:2" x14ac:dyDescent="0.2">
      <c r="B45" s="11" t="s">
        <v>35</v>
      </c>
    </row>
    <row r="46" spans="2:2" x14ac:dyDescent="0.2">
      <c r="B46" s="11" t="s">
        <v>23</v>
      </c>
    </row>
    <row r="47" spans="2:2" ht="13.5" thickBot="1" x14ac:dyDescent="0.25">
      <c r="B47" s="13" t="s">
        <v>36</v>
      </c>
    </row>
    <row r="48" spans="2:2" x14ac:dyDescent="0.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AH71"/>
  <sheetViews>
    <sheetView showGridLines="0" tabSelected="1" zoomScaleNormal="100" workbookViewId="0">
      <pane xSplit="6" ySplit="2" topLeftCell="G3" activePane="bottomRight" state="frozen"/>
      <selection pane="topRight" activeCell="F1" sqref="F1"/>
      <selection pane="bottomLeft" activeCell="A3" sqref="A3"/>
      <selection pane="bottomRight" activeCell="O7" sqref="O7"/>
    </sheetView>
  </sheetViews>
  <sheetFormatPr defaultRowHeight="12.75" x14ac:dyDescent="0.2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 x14ac:dyDescent="0.2">
      <c r="A1" s="18"/>
      <c r="B1" s="18"/>
      <c r="C1" s="19"/>
      <c r="D1" s="19"/>
      <c r="E1" s="19"/>
      <c r="F1" s="19"/>
      <c r="G1" s="93" t="s">
        <v>9</v>
      </c>
      <c r="H1" s="94"/>
      <c r="I1" s="94"/>
      <c r="J1" s="94"/>
      <c r="K1" s="95"/>
      <c r="L1" s="96" t="s">
        <v>11</v>
      </c>
      <c r="M1" s="97"/>
      <c r="N1" s="98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 x14ac:dyDescent="0.2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>O2+7+ISNUMBER(MATCH(O2+7,$Z$2:$AG$2,0))*7</f>
        <v>41379</v>
      </c>
      <c r="Q2" s="27">
        <f t="shared" ref="Q2:W2" si="0">P2+7+ISNUMBER(MATCH(P2+7,$Z$2:$AG$2,0))*7</f>
        <v>41386</v>
      </c>
      <c r="R2" s="27">
        <f t="shared" si="0"/>
        <v>41393</v>
      </c>
      <c r="S2" s="27">
        <f t="shared" si="0"/>
        <v>41407</v>
      </c>
      <c r="T2" s="27">
        <f t="shared" si="0"/>
        <v>41414</v>
      </c>
      <c r="U2" s="27">
        <f t="shared" si="0"/>
        <v>41421</v>
      </c>
      <c r="V2" s="27">
        <f t="shared" si="0"/>
        <v>41428</v>
      </c>
      <c r="W2" s="27">
        <f t="shared" si="0"/>
        <v>41435</v>
      </c>
      <c r="X2" s="44" t="s">
        <v>13</v>
      </c>
      <c r="Y2" s="54" t="s">
        <v>16</v>
      </c>
      <c r="Z2" s="52">
        <v>41400</v>
      </c>
      <c r="AA2" s="52"/>
      <c r="AB2" s="52"/>
      <c r="AC2" s="52"/>
      <c r="AD2" s="52"/>
      <c r="AE2" s="52"/>
      <c r="AF2" s="52"/>
      <c r="AG2" s="53"/>
      <c r="AH2" s="18"/>
    </row>
    <row r="3" spans="1:34" ht="39" customHeight="1" x14ac:dyDescent="0.2">
      <c r="A3" s="18"/>
      <c r="B3" s="4">
        <v>1</v>
      </c>
      <c r="C3" s="69" t="s">
        <v>69</v>
      </c>
      <c r="D3" s="69" t="s">
        <v>70</v>
      </c>
      <c r="E3" s="69" t="s">
        <v>17</v>
      </c>
      <c r="F3" s="90" t="s">
        <v>122</v>
      </c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3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124</v>
      </c>
      <c r="Q3" s="51" t="str">
        <f t="shared" ref="Q3:W39" si="2">IF(ISNUMBER(P3)," ",IF(P3="X","X"," "))</f>
        <v>X</v>
      </c>
      <c r="R3" s="51" t="str">
        <f t="shared" si="2"/>
        <v>X</v>
      </c>
      <c r="S3" s="51" t="str">
        <f t="shared" ref="S3:T39" si="3">IF(ISNUMBER(R3)," ",IF(R3="X","X"," "))</f>
        <v>X</v>
      </c>
      <c r="T3" s="51" t="str">
        <f t="shared" si="3"/>
        <v>X</v>
      </c>
      <c r="U3" s="51" t="str">
        <f t="shared" ref="U3:U39" si="4">IF(ISNUMBER(T3)," ",IF(T3="X","X"," "))</f>
        <v>X</v>
      </c>
      <c r="V3" s="51" t="str">
        <f t="shared" si="2"/>
        <v>X</v>
      </c>
      <c r="W3" s="51" t="str">
        <f t="shared" si="2"/>
        <v>X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 x14ac:dyDescent="0.2">
      <c r="A4" s="18"/>
      <c r="B4" s="4">
        <v>2</v>
      </c>
      <c r="C4" s="69" t="s">
        <v>69</v>
      </c>
      <c r="D4" s="69" t="s">
        <v>71</v>
      </c>
      <c r="E4" s="69"/>
      <c r="F4" s="90" t="s">
        <v>113</v>
      </c>
      <c r="G4" s="45">
        <v>41372</v>
      </c>
      <c r="H4" s="45">
        <v>41379</v>
      </c>
      <c r="I4" s="77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41372</v>
      </c>
      <c r="N4" s="56">
        <f t="shared" ref="N4:N39" si="5">SUM(O4:CG4)</f>
        <v>10.5</v>
      </c>
      <c r="O4" s="51">
        <v>10.5</v>
      </c>
      <c r="P4" s="51" t="s">
        <v>123</v>
      </c>
      <c r="Q4" s="51"/>
      <c r="R4" s="51"/>
      <c r="S4" s="51"/>
      <c r="T4" s="51"/>
      <c r="U4" s="51"/>
      <c r="V4" s="51"/>
      <c r="W4" s="51"/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 x14ac:dyDescent="0.2">
      <c r="A5" s="18"/>
      <c r="B5" s="4">
        <v>3</v>
      </c>
      <c r="C5" s="69" t="s">
        <v>69</v>
      </c>
      <c r="D5" s="69" t="s">
        <v>72</v>
      </c>
      <c r="E5" s="69"/>
      <c r="F5" s="90" t="s">
        <v>122</v>
      </c>
      <c r="G5" s="45">
        <v>41384</v>
      </c>
      <c r="H5" s="45">
        <v>41393</v>
      </c>
      <c r="I5" s="46"/>
      <c r="J5" s="43">
        <v>1</v>
      </c>
      <c r="K5" s="3">
        <v>0.75</v>
      </c>
      <c r="L5" s="55" t="str">
        <f t="array" ref="L5">IF(ISNA(INDEX($O$2:$DA$2,1,MATCH(1,IF($O5:$DM5,1),0))),"",INDEX($O$2:$DA$2,1,MATCH(1,IF($O5:$DM5,1),0)))</f>
        <v/>
      </c>
      <c r="M5" s="55" t="str">
        <f t="shared" si="1"/>
        <v/>
      </c>
      <c r="N5" s="56">
        <f t="shared" si="5"/>
        <v>0</v>
      </c>
      <c r="O5" s="51"/>
      <c r="P5" s="51"/>
      <c r="Q5" s="51"/>
      <c r="R5" s="51"/>
      <c r="S5" s="51"/>
      <c r="T5" s="51"/>
      <c r="U5" s="51"/>
      <c r="V5" s="51"/>
      <c r="W5" s="51"/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 x14ac:dyDescent="0.2">
      <c r="A6" s="18"/>
      <c r="B6" s="4">
        <v>4</v>
      </c>
      <c r="C6" s="69" t="s">
        <v>69</v>
      </c>
      <c r="D6" s="69" t="s">
        <v>73</v>
      </c>
      <c r="E6" s="69"/>
      <c r="F6" s="90" t="s">
        <v>114</v>
      </c>
      <c r="G6" s="45">
        <v>41372</v>
      </c>
      <c r="H6" s="45">
        <v>41393</v>
      </c>
      <c r="I6" s="77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 t="str">
        <f t="shared" si="1"/>
        <v/>
      </c>
      <c r="N6" s="56">
        <f t="shared" si="5"/>
        <v>6</v>
      </c>
      <c r="O6" s="51">
        <v>6</v>
      </c>
      <c r="P6" s="51"/>
      <c r="Q6" s="51"/>
      <c r="R6" s="51"/>
      <c r="S6" s="51"/>
      <c r="T6" s="51"/>
      <c r="U6" s="51"/>
      <c r="V6" s="51"/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 x14ac:dyDescent="0.2">
      <c r="A7" s="18"/>
      <c r="B7" s="4">
        <v>5</v>
      </c>
      <c r="C7" s="69" t="s">
        <v>69</v>
      </c>
      <c r="D7" s="69" t="s">
        <v>110</v>
      </c>
      <c r="E7" s="69" t="s">
        <v>109</v>
      </c>
      <c r="F7" s="90" t="s">
        <v>115</v>
      </c>
      <c r="G7" s="45">
        <v>41379</v>
      </c>
      <c r="H7" s="45">
        <v>41393</v>
      </c>
      <c r="I7" s="77">
        <v>1</v>
      </c>
      <c r="J7" s="43">
        <v>1</v>
      </c>
      <c r="K7" s="3">
        <v>13</v>
      </c>
      <c r="L7" s="55" t="str">
        <f t="array" ref="L7">IF(ISNA(INDEX($O$2:$DA$2,1,MATCH(1,IF($O7:$DM7,1),0))),"",INDEX($O$2:$DA$2,1,MATCH(1,IF($O7:$DM7,1),0)))</f>
        <v/>
      </c>
      <c r="M7" s="55" t="str">
        <f t="shared" si="1"/>
        <v/>
      </c>
      <c r="N7" s="56">
        <f t="shared" si="5"/>
        <v>0</v>
      </c>
      <c r="O7" s="51"/>
      <c r="P7" s="51"/>
      <c r="Q7" s="51"/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 x14ac:dyDescent="0.2">
      <c r="A8" s="18"/>
      <c r="B8" s="4">
        <v>6</v>
      </c>
      <c r="C8" s="69" t="s">
        <v>69</v>
      </c>
      <c r="D8" s="69" t="s">
        <v>74</v>
      </c>
      <c r="E8" s="69" t="s">
        <v>75</v>
      </c>
      <c r="F8" s="90" t="s">
        <v>122</v>
      </c>
      <c r="G8" s="45">
        <v>41386</v>
      </c>
      <c r="H8" s="45">
        <v>41393</v>
      </c>
      <c r="I8" s="77">
        <v>4</v>
      </c>
      <c r="J8" s="43">
        <v>1</v>
      </c>
      <c r="K8" s="3">
        <v>13</v>
      </c>
      <c r="L8" s="55" t="str">
        <f t="array" ref="L8">IF(ISNA(INDEX($O$2:$DA$2,1,MATCH(1,IF($O8:$DM8,1),0))),"",INDEX($O$2:$DA$2,1,MATCH(1,IF($O8:$DM8,1),0)))</f>
        <v/>
      </c>
      <c r="M8" s="55" t="str">
        <f t="shared" si="1"/>
        <v/>
      </c>
      <c r="N8" s="56">
        <f t="shared" si="5"/>
        <v>0</v>
      </c>
      <c r="O8" s="51"/>
      <c r="P8" s="51"/>
      <c r="Q8" s="51"/>
      <c r="R8" s="51"/>
      <c r="S8" s="51"/>
      <c r="T8" s="51"/>
      <c r="U8" s="51"/>
      <c r="V8" s="51"/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 x14ac:dyDescent="0.2">
      <c r="A9" s="18"/>
      <c r="B9" s="4">
        <v>7</v>
      </c>
      <c r="C9" s="69" t="s">
        <v>69</v>
      </c>
      <c r="D9" s="69" t="s">
        <v>74</v>
      </c>
      <c r="E9" s="69" t="s">
        <v>76</v>
      </c>
      <c r="F9" s="90" t="s">
        <v>122</v>
      </c>
      <c r="G9" s="45">
        <v>41393</v>
      </c>
      <c r="H9" s="45">
        <v>41407</v>
      </c>
      <c r="I9" s="77">
        <v>6</v>
      </c>
      <c r="J9" s="43">
        <v>1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 t="str">
        <f t="shared" si="1"/>
        <v/>
      </c>
      <c r="N9" s="56">
        <f t="shared" si="5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 x14ac:dyDescent="0.2">
      <c r="A10" s="18"/>
      <c r="B10" s="4">
        <v>8</v>
      </c>
      <c r="C10" s="69" t="s">
        <v>69</v>
      </c>
      <c r="D10" s="69" t="s">
        <v>74</v>
      </c>
      <c r="E10" s="70" t="s">
        <v>77</v>
      </c>
      <c r="F10" s="90" t="s">
        <v>116</v>
      </c>
      <c r="G10" s="45">
        <v>41393</v>
      </c>
      <c r="H10" s="45">
        <v>41407</v>
      </c>
      <c r="I10" s="77">
        <v>7</v>
      </c>
      <c r="J10" s="43">
        <v>1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5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 x14ac:dyDescent="0.25">
      <c r="A11" s="18"/>
      <c r="B11" s="73">
        <v>9</v>
      </c>
      <c r="C11" s="74" t="s">
        <v>69</v>
      </c>
      <c r="D11" s="75" t="s">
        <v>78</v>
      </c>
      <c r="E11" s="75"/>
      <c r="F11" s="90" t="s">
        <v>117</v>
      </c>
      <c r="G11" s="83">
        <v>41393</v>
      </c>
      <c r="H11" s="83">
        <v>41407</v>
      </c>
      <c r="I11" s="77">
        <v>7</v>
      </c>
      <c r="J11" s="84">
        <v>1</v>
      </c>
      <c r="K11" s="85">
        <v>10</v>
      </c>
      <c r="L11" s="86" t="str">
        <f t="array" ref="L11">IF(ISNA(INDEX($O$2:$DA$2,1,MATCH(1,IF($O11:$DM11,1),0))),"",INDEX($O$2:$DA$2,1,MATCH(1,IF($O11:$DM11,1),0)))</f>
        <v/>
      </c>
      <c r="M11" s="55" t="str">
        <f t="shared" si="1"/>
        <v/>
      </c>
      <c r="N11" s="87">
        <f t="shared" si="5"/>
        <v>0</v>
      </c>
      <c r="O11" s="88"/>
      <c r="P11" s="88"/>
      <c r="Q11" s="88"/>
      <c r="R11" s="88"/>
      <c r="S11" s="88"/>
      <c r="T11" s="88"/>
      <c r="U11" s="88"/>
      <c r="V11" s="88"/>
      <c r="W11" s="88"/>
      <c r="X11" s="89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 x14ac:dyDescent="0.2">
      <c r="A12" s="18"/>
      <c r="B12" s="71">
        <v>10</v>
      </c>
      <c r="C12" s="72" t="s">
        <v>79</v>
      </c>
      <c r="D12" s="72" t="s">
        <v>80</v>
      </c>
      <c r="E12" s="72" t="s">
        <v>81</v>
      </c>
      <c r="F12" s="90" t="s">
        <v>118</v>
      </c>
      <c r="G12" s="76">
        <v>41386</v>
      </c>
      <c r="H12" s="76">
        <v>41393</v>
      </c>
      <c r="I12" s="77">
        <v>4</v>
      </c>
      <c r="J12" s="77">
        <v>1</v>
      </c>
      <c r="K12" s="78">
        <v>3</v>
      </c>
      <c r="L12" s="79" t="str">
        <f t="array" ref="L12">IF(ISNA(INDEX($O$2:$DA$2,1,MATCH(1,IF($O12:$DM12,1),0))),"",INDEX($O$2:$DA$2,1,MATCH(1,IF($O12:$DM12,1),0)))</f>
        <v/>
      </c>
      <c r="M12" s="55" t="str">
        <f t="shared" si="1"/>
        <v/>
      </c>
      <c r="N12" s="80">
        <f t="shared" si="5"/>
        <v>0</v>
      </c>
      <c r="O12" s="81"/>
      <c r="P12" s="81"/>
      <c r="Q12" s="81"/>
      <c r="R12" s="81"/>
      <c r="S12" s="81" t="str">
        <f t="shared" si="3"/>
        <v xml:space="preserve"> </v>
      </c>
      <c r="T12" s="81" t="str">
        <f t="shared" si="3"/>
        <v xml:space="preserve"> </v>
      </c>
      <c r="U12" s="81" t="str">
        <f t="shared" si="4"/>
        <v xml:space="preserve"> </v>
      </c>
      <c r="V12" s="81" t="str">
        <f t="shared" si="2"/>
        <v xml:space="preserve"> </v>
      </c>
      <c r="W12" s="81" t="str">
        <f t="shared" ref="W12" si="6">IF(ISNUMBER(V12)," ",IF(V12="X","X"," "))</f>
        <v xml:space="preserve"> </v>
      </c>
      <c r="X12" s="82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5.5" x14ac:dyDescent="0.2">
      <c r="A13" s="18"/>
      <c r="B13" s="4">
        <v>11</v>
      </c>
      <c r="C13" s="69" t="s">
        <v>79</v>
      </c>
      <c r="D13" s="69" t="s">
        <v>80</v>
      </c>
      <c r="E13" s="69" t="s">
        <v>82</v>
      </c>
      <c r="F13" s="90" t="s">
        <v>122</v>
      </c>
      <c r="G13" s="76">
        <v>41393</v>
      </c>
      <c r="H13" s="45">
        <v>41407</v>
      </c>
      <c r="I13" s="43">
        <v>10</v>
      </c>
      <c r="J13" s="43">
        <v>1.5</v>
      </c>
      <c r="K13" s="3">
        <v>13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5"/>
        <v>0</v>
      </c>
      <c r="O13" s="51"/>
      <c r="P13" s="51"/>
      <c r="Q13" s="51"/>
      <c r="R13" s="51"/>
      <c r="S13" s="51" t="str">
        <f t="shared" si="3"/>
        <v xml:space="preserve"> </v>
      </c>
      <c r="T13" s="51" t="str">
        <f t="shared" si="3"/>
        <v xml:space="preserve"> </v>
      </c>
      <c r="U13" s="51" t="str">
        <f t="shared" si="4"/>
        <v xml:space="preserve"> </v>
      </c>
      <c r="V13" s="51" t="str">
        <f t="shared" si="2"/>
        <v xml:space="preserve"> </v>
      </c>
      <c r="W13" s="51" t="str">
        <f t="shared" ref="W13" si="7">IF(ISNUMBER(V13)," ",IF(V13="X","X"," "))</f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 x14ac:dyDescent="0.2">
      <c r="A14" s="18"/>
      <c r="B14" s="4">
        <v>12</v>
      </c>
      <c r="C14" s="69" t="s">
        <v>79</v>
      </c>
      <c r="D14" s="69" t="s">
        <v>83</v>
      </c>
      <c r="E14" s="69" t="s">
        <v>84</v>
      </c>
      <c r="F14" s="90" t="s">
        <v>107</v>
      </c>
      <c r="G14" s="45">
        <v>41393</v>
      </c>
      <c r="H14" s="45">
        <v>41414</v>
      </c>
      <c r="I14" s="43">
        <v>11</v>
      </c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5"/>
        <v>0</v>
      </c>
      <c r="O14" s="51"/>
      <c r="P14" s="51"/>
      <c r="Q14" s="51"/>
      <c r="R14" s="51"/>
      <c r="S14" s="51"/>
      <c r="T14" s="51" t="str">
        <f t="shared" si="3"/>
        <v xml:space="preserve"> </v>
      </c>
      <c r="U14" s="51" t="str">
        <f t="shared" si="4"/>
        <v xml:space="preserve"> </v>
      </c>
      <c r="V14" s="51" t="str">
        <f t="shared" ref="V14:V36" si="8">IF(ISNUMBER(U14)," ",IF(U14="X","X"," "))</f>
        <v xml:space="preserve"> </v>
      </c>
      <c r="W14" s="51" t="str">
        <f t="shared" ref="W14:W36" si="9">IF(ISNUMBER(V14)," ",IF(V14="X","X"," "))</f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 x14ac:dyDescent="0.2">
      <c r="A15" s="18"/>
      <c r="B15" s="4">
        <v>13</v>
      </c>
      <c r="C15" s="69" t="s">
        <v>79</v>
      </c>
      <c r="D15" s="69" t="s">
        <v>85</v>
      </c>
      <c r="E15" s="69" t="s">
        <v>86</v>
      </c>
      <c r="F15" s="90" t="s">
        <v>112</v>
      </c>
      <c r="G15" s="45">
        <v>41393</v>
      </c>
      <c r="H15" s="45">
        <v>41407</v>
      </c>
      <c r="I15" s="46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5"/>
        <v>0</v>
      </c>
      <c r="O15" s="51"/>
      <c r="P15" s="51" t="str">
        <f t="shared" ref="P15:Q15" si="10">IF(ISNUMBER(O15)," ",IF(O15="X","X"," "))</f>
        <v xml:space="preserve"> </v>
      </c>
      <c r="Q15" s="51" t="str">
        <f t="shared" si="10"/>
        <v xml:space="preserve"> </v>
      </c>
      <c r="R15" s="51"/>
      <c r="S15" s="51" t="str">
        <f t="shared" si="3"/>
        <v xml:space="preserve"> </v>
      </c>
      <c r="T15" s="51" t="str">
        <f t="shared" si="3"/>
        <v xml:space="preserve"> </v>
      </c>
      <c r="U15" s="51" t="str">
        <f t="shared" si="4"/>
        <v xml:space="preserve"> </v>
      </c>
      <c r="V15" s="51" t="str">
        <f t="shared" si="8"/>
        <v xml:space="preserve"> </v>
      </c>
      <c r="W15" s="51" t="str">
        <f t="shared" si="9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 x14ac:dyDescent="0.2">
      <c r="A16" s="18"/>
      <c r="B16" s="4">
        <v>14</v>
      </c>
      <c r="C16" s="69" t="s">
        <v>79</v>
      </c>
      <c r="D16" s="69" t="s">
        <v>89</v>
      </c>
      <c r="E16" s="69" t="s">
        <v>87</v>
      </c>
      <c r="F16" s="90" t="s">
        <v>112</v>
      </c>
      <c r="G16" s="45">
        <v>41393</v>
      </c>
      <c r="H16" s="45">
        <v>41414</v>
      </c>
      <c r="I16" s="43">
        <v>13</v>
      </c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5"/>
        <v>0</v>
      </c>
      <c r="O16" s="51"/>
      <c r="P16" s="51" t="str">
        <f t="shared" ref="P16" si="11">IF(ISNUMBER(O16)," ",IF(O16="X","X"," "))</f>
        <v xml:space="preserve"> </v>
      </c>
      <c r="Q16" s="51"/>
      <c r="R16" s="51"/>
      <c r="S16" s="51" t="str">
        <f t="shared" si="3"/>
        <v xml:space="preserve"> </v>
      </c>
      <c r="T16" s="51" t="str">
        <f t="shared" si="3"/>
        <v xml:space="preserve"> </v>
      </c>
      <c r="U16" s="51" t="str">
        <f t="shared" si="4"/>
        <v xml:space="preserve"> </v>
      </c>
      <c r="V16" s="51" t="str">
        <f t="shared" si="8"/>
        <v xml:space="preserve"> </v>
      </c>
      <c r="W16" s="51" t="str">
        <f t="shared" si="9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 x14ac:dyDescent="0.2">
      <c r="A17" s="18"/>
      <c r="B17" s="4">
        <v>15</v>
      </c>
      <c r="C17" s="69" t="s">
        <v>79</v>
      </c>
      <c r="D17" s="69" t="s">
        <v>85</v>
      </c>
      <c r="E17" s="69" t="s">
        <v>111</v>
      </c>
      <c r="F17" s="90" t="s">
        <v>112</v>
      </c>
      <c r="G17" s="45">
        <v>41407</v>
      </c>
      <c r="H17" s="45">
        <v>41414</v>
      </c>
      <c r="I17" s="43">
        <v>10</v>
      </c>
      <c r="J17" s="43">
        <v>1</v>
      </c>
      <c r="K17" s="3">
        <v>1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5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 x14ac:dyDescent="0.2">
      <c r="A18" s="18"/>
      <c r="B18" s="4">
        <v>16</v>
      </c>
      <c r="C18" s="69" t="s">
        <v>79</v>
      </c>
      <c r="D18" s="69" t="s">
        <v>90</v>
      </c>
      <c r="E18" s="69" t="s">
        <v>86</v>
      </c>
      <c r="F18" s="90" t="s">
        <v>106</v>
      </c>
      <c r="G18" s="45">
        <v>41393</v>
      </c>
      <c r="H18" s="45">
        <v>41407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5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 x14ac:dyDescent="0.2">
      <c r="A19" s="18"/>
      <c r="B19" s="4">
        <v>17</v>
      </c>
      <c r="C19" s="69" t="s">
        <v>79</v>
      </c>
      <c r="D19" s="69" t="s">
        <v>90</v>
      </c>
      <c r="E19" s="69" t="s">
        <v>87</v>
      </c>
      <c r="F19" s="90" t="s">
        <v>106</v>
      </c>
      <c r="G19" s="45">
        <v>41393</v>
      </c>
      <c r="H19" s="45">
        <v>41407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5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 x14ac:dyDescent="0.2">
      <c r="A20" s="18"/>
      <c r="B20" s="4">
        <v>18</v>
      </c>
      <c r="C20" s="69" t="s">
        <v>79</v>
      </c>
      <c r="D20" s="69" t="s">
        <v>90</v>
      </c>
      <c r="E20" s="69" t="s">
        <v>88</v>
      </c>
      <c r="F20" s="90" t="s">
        <v>106</v>
      </c>
      <c r="G20" s="45">
        <v>41407</v>
      </c>
      <c r="H20" s="45">
        <v>41414</v>
      </c>
      <c r="I20" s="43">
        <v>10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5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 x14ac:dyDescent="0.2">
      <c r="A21" s="18"/>
      <c r="B21" s="4">
        <v>19</v>
      </c>
      <c r="C21" s="69" t="s">
        <v>79</v>
      </c>
      <c r="D21" s="69" t="s">
        <v>91</v>
      </c>
      <c r="E21" s="69" t="s">
        <v>86</v>
      </c>
      <c r="F21" s="90" t="s">
        <v>119</v>
      </c>
      <c r="G21" s="45">
        <v>41393</v>
      </c>
      <c r="H21" s="45">
        <v>41407</v>
      </c>
      <c r="I21" s="46"/>
      <c r="J21" s="43">
        <v>1</v>
      </c>
      <c r="K21" s="3">
        <v>1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5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 x14ac:dyDescent="0.2">
      <c r="A22" s="18"/>
      <c r="B22" s="4">
        <v>20</v>
      </c>
      <c r="C22" s="69" t="s">
        <v>79</v>
      </c>
      <c r="D22" s="69" t="s">
        <v>91</v>
      </c>
      <c r="E22" s="69" t="s">
        <v>87</v>
      </c>
      <c r="F22" s="90" t="s">
        <v>119</v>
      </c>
      <c r="G22" s="45">
        <v>41393</v>
      </c>
      <c r="H22" s="45">
        <v>41407</v>
      </c>
      <c r="I22" s="43">
        <v>19</v>
      </c>
      <c r="J22" s="43">
        <v>1</v>
      </c>
      <c r="K22" s="3">
        <v>3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5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 x14ac:dyDescent="0.2">
      <c r="A23" s="18"/>
      <c r="B23" s="4">
        <v>21</v>
      </c>
      <c r="C23" s="69" t="s">
        <v>79</v>
      </c>
      <c r="D23" s="69" t="s">
        <v>91</v>
      </c>
      <c r="E23" s="69" t="s">
        <v>88</v>
      </c>
      <c r="F23" s="90" t="s">
        <v>119</v>
      </c>
      <c r="G23" s="45">
        <v>41414</v>
      </c>
      <c r="H23" s="45">
        <v>41421</v>
      </c>
      <c r="I23" s="43">
        <v>10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5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 x14ac:dyDescent="0.2">
      <c r="A24" s="18"/>
      <c r="B24" s="4">
        <v>22</v>
      </c>
      <c r="C24" s="69" t="s">
        <v>79</v>
      </c>
      <c r="D24" s="69" t="s">
        <v>92</v>
      </c>
      <c r="E24" s="69" t="s">
        <v>93</v>
      </c>
      <c r="F24" s="90" t="s">
        <v>108</v>
      </c>
      <c r="G24" s="45">
        <v>41407</v>
      </c>
      <c r="H24" s="45">
        <v>41421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5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 x14ac:dyDescent="0.2">
      <c r="A25" s="18"/>
      <c r="B25" s="4">
        <v>23</v>
      </c>
      <c r="C25" s="69" t="s">
        <v>79</v>
      </c>
      <c r="D25" s="69" t="s">
        <v>92</v>
      </c>
      <c r="E25" s="69" t="s">
        <v>94</v>
      </c>
      <c r="F25" s="90" t="s">
        <v>119</v>
      </c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5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 x14ac:dyDescent="0.2">
      <c r="A26" s="18"/>
      <c r="B26" s="4">
        <v>24</v>
      </c>
      <c r="C26" s="69" t="s">
        <v>79</v>
      </c>
      <c r="D26" s="69" t="s">
        <v>92</v>
      </c>
      <c r="E26" s="69" t="s">
        <v>95</v>
      </c>
      <c r="F26" s="90" t="s">
        <v>119</v>
      </c>
      <c r="G26" s="45">
        <v>41407</v>
      </c>
      <c r="H26" s="45">
        <v>41421</v>
      </c>
      <c r="I26" s="43">
        <v>23</v>
      </c>
      <c r="J26" s="43">
        <v>2</v>
      </c>
      <c r="K26" s="3">
        <v>6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5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 x14ac:dyDescent="0.2">
      <c r="A27" s="18"/>
      <c r="B27" s="4">
        <v>25</v>
      </c>
      <c r="C27" s="69" t="s">
        <v>79</v>
      </c>
      <c r="D27" s="69" t="s">
        <v>92</v>
      </c>
      <c r="E27" s="69" t="s">
        <v>96</v>
      </c>
      <c r="F27" s="90" t="s">
        <v>119</v>
      </c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5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 x14ac:dyDescent="0.2">
      <c r="A28" s="18"/>
      <c r="B28" s="4">
        <v>26</v>
      </c>
      <c r="C28" s="69" t="s">
        <v>79</v>
      </c>
      <c r="D28" s="69" t="s">
        <v>97</v>
      </c>
      <c r="E28" s="69" t="s">
        <v>86</v>
      </c>
      <c r="F28" s="90" t="s">
        <v>107</v>
      </c>
      <c r="G28" s="45">
        <v>41407</v>
      </c>
      <c r="H28" s="45">
        <v>41414</v>
      </c>
      <c r="I28" s="46"/>
      <c r="J28" s="43">
        <v>1</v>
      </c>
      <c r="K28" s="3">
        <v>1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5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 x14ac:dyDescent="0.2">
      <c r="A29" s="18"/>
      <c r="B29" s="4">
        <v>27</v>
      </c>
      <c r="C29" s="69" t="s">
        <v>79</v>
      </c>
      <c r="D29" s="69" t="s">
        <v>97</v>
      </c>
      <c r="E29" s="69" t="s">
        <v>87</v>
      </c>
      <c r="F29" s="90" t="s">
        <v>107</v>
      </c>
      <c r="G29" s="45">
        <v>41407</v>
      </c>
      <c r="H29" s="45">
        <v>41414</v>
      </c>
      <c r="I29" s="43">
        <v>26</v>
      </c>
      <c r="J29" s="43">
        <v>1</v>
      </c>
      <c r="K29" s="3">
        <v>3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5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 x14ac:dyDescent="0.2">
      <c r="A30" s="18"/>
      <c r="B30" s="4">
        <v>28</v>
      </c>
      <c r="C30" s="69" t="s">
        <v>79</v>
      </c>
      <c r="D30" s="69" t="s">
        <v>97</v>
      </c>
      <c r="E30" s="69" t="s">
        <v>88</v>
      </c>
      <c r="F30" s="90" t="s">
        <v>107</v>
      </c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5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 x14ac:dyDescent="0.2">
      <c r="A31" s="18"/>
      <c r="B31" s="4">
        <v>29</v>
      </c>
      <c r="C31" s="69" t="s">
        <v>79</v>
      </c>
      <c r="D31" s="69" t="s">
        <v>83</v>
      </c>
      <c r="E31" s="28" t="s">
        <v>98</v>
      </c>
      <c r="F31" s="90" t="s">
        <v>106</v>
      </c>
      <c r="G31" s="45">
        <v>41407</v>
      </c>
      <c r="H31" s="45">
        <v>41421</v>
      </c>
      <c r="I31" s="43">
        <v>10</v>
      </c>
      <c r="J31" s="43">
        <v>2</v>
      </c>
      <c r="K31" s="3">
        <v>8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5"/>
        <v>0</v>
      </c>
      <c r="O31" s="51"/>
      <c r="P31" s="51" t="str">
        <f t="shared" ref="P31" si="12">IF(ISNUMBER(O31)," ",IF(O31="X","X"," "))</f>
        <v xml:space="preserve"> </v>
      </c>
      <c r="Q31" s="51"/>
      <c r="R31" s="51"/>
      <c r="S31" s="51" t="str">
        <f t="shared" si="3"/>
        <v xml:space="preserve"> </v>
      </c>
      <c r="T31" s="51" t="str">
        <f t="shared" si="3"/>
        <v xml:space="preserve"> </v>
      </c>
      <c r="U31" s="51" t="str">
        <f t="shared" si="4"/>
        <v xml:space="preserve"> </v>
      </c>
      <c r="V31" s="51" t="str">
        <f t="shared" si="8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 x14ac:dyDescent="0.2">
      <c r="A32" s="18"/>
      <c r="B32" s="4">
        <v>30</v>
      </c>
      <c r="C32" s="69" t="s">
        <v>79</v>
      </c>
      <c r="D32" s="69" t="s">
        <v>83</v>
      </c>
      <c r="E32" s="69" t="s">
        <v>99</v>
      </c>
      <c r="F32" s="90" t="s">
        <v>112</v>
      </c>
      <c r="G32" s="45">
        <v>41407</v>
      </c>
      <c r="H32" s="45">
        <v>41421</v>
      </c>
      <c r="I32" s="43">
        <v>10</v>
      </c>
      <c r="J32" s="43">
        <v>2</v>
      </c>
      <c r="K32" s="3">
        <v>5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5"/>
        <v>0</v>
      </c>
      <c r="O32" s="51"/>
      <c r="P32" s="51" t="str">
        <f t="shared" ref="P32:R32" si="13">IF(ISNUMBER(O32)," ",IF(O32="X","X"," "))</f>
        <v xml:space="preserve"> </v>
      </c>
      <c r="Q32" s="51" t="str">
        <f t="shared" si="13"/>
        <v xml:space="preserve"> </v>
      </c>
      <c r="R32" s="51" t="str">
        <f t="shared" si="13"/>
        <v xml:space="preserve"> </v>
      </c>
      <c r="S32" s="51" t="str">
        <f t="shared" si="3"/>
        <v xml:space="preserve"> </v>
      </c>
      <c r="T32" s="51" t="str">
        <f t="shared" si="3"/>
        <v xml:space="preserve"> </v>
      </c>
      <c r="U32" s="51" t="str">
        <f t="shared" si="4"/>
        <v xml:space="preserve"> </v>
      </c>
      <c r="V32" s="51" t="str">
        <f t="shared" si="8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5.5" x14ac:dyDescent="0.2">
      <c r="A33" s="18"/>
      <c r="B33" s="4">
        <v>31</v>
      </c>
      <c r="C33" s="69" t="s">
        <v>79</v>
      </c>
      <c r="D33" s="69" t="s">
        <v>100</v>
      </c>
      <c r="E33" s="69" t="s">
        <v>75</v>
      </c>
      <c r="F33" s="90" t="s">
        <v>122</v>
      </c>
      <c r="G33" s="45">
        <v>41407</v>
      </c>
      <c r="H33" s="45">
        <v>41414</v>
      </c>
      <c r="I33" s="43">
        <v>10</v>
      </c>
      <c r="J33" s="43">
        <v>1</v>
      </c>
      <c r="K33" s="3">
        <v>13</v>
      </c>
      <c r="L33" s="55" t="str">
        <f t="array" ref="L33">IF(ISNA(INDEX($O$2:$DA$2,1,MATCH(1,IF($O33:$DM33,1),0))),"",INDEX($O$2:$DA$2,1,MATCH(1,IF($O33:$DM33,1),0)))</f>
        <v/>
      </c>
      <c r="M33" s="55" t="str">
        <f t="shared" si="1"/>
        <v/>
      </c>
      <c r="N33" s="56">
        <f t="shared" si="5"/>
        <v>0</v>
      </c>
      <c r="O33" s="51"/>
      <c r="P33" s="51" t="str">
        <f t="shared" ref="P33:R33" si="14">IF(ISNUMBER(O33)," ",IF(O33="X","X"," "))</f>
        <v xml:space="preserve"> </v>
      </c>
      <c r="Q33" s="51" t="str">
        <f t="shared" si="14"/>
        <v xml:space="preserve"> </v>
      </c>
      <c r="R33" s="51" t="str">
        <f t="shared" si="14"/>
        <v xml:space="preserve"> </v>
      </c>
      <c r="S33" s="51" t="str">
        <f t="shared" si="3"/>
        <v xml:space="preserve"> </v>
      </c>
      <c r="T33" s="51" t="str">
        <f t="shared" si="3"/>
        <v xml:space="preserve"> </v>
      </c>
      <c r="U33" s="51" t="str">
        <f t="shared" si="4"/>
        <v xml:space="preserve"> </v>
      </c>
      <c r="V33" s="51" t="str">
        <f t="shared" si="8"/>
        <v xml:space="preserve"> </v>
      </c>
      <c r="W33" s="51" t="str">
        <f t="shared" si="9"/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5.5" x14ac:dyDescent="0.2">
      <c r="A34" s="18"/>
      <c r="B34" s="4">
        <v>32</v>
      </c>
      <c r="C34" s="69" t="s">
        <v>79</v>
      </c>
      <c r="D34" s="69" t="s">
        <v>100</v>
      </c>
      <c r="E34" s="69" t="s">
        <v>76</v>
      </c>
      <c r="F34" s="90" t="s">
        <v>122</v>
      </c>
      <c r="G34" s="45">
        <v>41407</v>
      </c>
      <c r="H34" s="45">
        <v>41414</v>
      </c>
      <c r="I34" s="43">
        <v>31</v>
      </c>
      <c r="J34" s="43">
        <v>1.5</v>
      </c>
      <c r="K34" s="3">
        <v>20</v>
      </c>
      <c r="L34" s="55" t="str">
        <f t="array" ref="L34">IF(ISNA(INDEX($O$2:$DA$2,1,MATCH(1,IF($O34:$DM34,1),0))),"",INDEX($O$2:$DA$2,1,MATCH(1,IF($O34:$DM34,1),0)))</f>
        <v/>
      </c>
      <c r="M34" s="55" t="str">
        <f t="shared" si="1"/>
        <v/>
      </c>
      <c r="N34" s="56">
        <f t="shared" si="5"/>
        <v>0</v>
      </c>
      <c r="O34" s="51"/>
      <c r="P34" s="51" t="str">
        <f t="shared" ref="P34:R34" si="15">IF(ISNUMBER(O34)," ",IF(O34="X","X"," "))</f>
        <v xml:space="preserve"> </v>
      </c>
      <c r="Q34" s="51" t="str">
        <f t="shared" si="15"/>
        <v xml:space="preserve"> </v>
      </c>
      <c r="R34" s="51" t="str">
        <f t="shared" si="15"/>
        <v xml:space="preserve"> </v>
      </c>
      <c r="S34" s="51" t="str">
        <f t="shared" si="3"/>
        <v xml:space="preserve"> </v>
      </c>
      <c r="T34" s="51" t="str">
        <f t="shared" si="3"/>
        <v xml:space="preserve"> </v>
      </c>
      <c r="U34" s="51" t="str">
        <f t="shared" si="4"/>
        <v xml:space="preserve"> </v>
      </c>
      <c r="V34" s="51" t="str">
        <f t="shared" si="8"/>
        <v xml:space="preserve"> </v>
      </c>
      <c r="W34" s="51" t="str">
        <f t="shared" si="9"/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 x14ac:dyDescent="0.2">
      <c r="A35" s="18"/>
      <c r="B35" s="4">
        <v>33</v>
      </c>
      <c r="C35" s="69" t="s">
        <v>79</v>
      </c>
      <c r="D35" s="69" t="s">
        <v>100</v>
      </c>
      <c r="E35" s="69" t="s">
        <v>77</v>
      </c>
      <c r="F35" s="90" t="s">
        <v>107</v>
      </c>
      <c r="G35" s="45">
        <v>41414</v>
      </c>
      <c r="H35" s="45">
        <v>41421</v>
      </c>
      <c r="I35" s="43">
        <v>32</v>
      </c>
      <c r="J35" s="43">
        <v>1</v>
      </c>
      <c r="K35" s="3">
        <v>8</v>
      </c>
      <c r="L35" s="55" t="str">
        <f t="array" ref="L35">IF(ISNA(INDEX($O$2:$DA$2,1,MATCH(1,IF($O35:$DM35,1),0))),"",INDEX($O$2:$DA$2,1,MATCH(1,IF($O35:$DM35,1),0)))</f>
        <v/>
      </c>
      <c r="M35" s="55" t="str">
        <f t="shared" si="1"/>
        <v/>
      </c>
      <c r="N35" s="56">
        <f t="shared" si="5"/>
        <v>0</v>
      </c>
      <c r="O35" s="51"/>
      <c r="P35" s="51" t="str">
        <f t="shared" ref="P35:R35" si="16">IF(ISNUMBER(O35)," ",IF(O35="X","X"," "))</f>
        <v xml:space="preserve"> </v>
      </c>
      <c r="Q35" s="51" t="str">
        <f t="shared" si="16"/>
        <v xml:space="preserve"> </v>
      </c>
      <c r="R35" s="51" t="str">
        <f t="shared" si="16"/>
        <v xml:space="preserve"> </v>
      </c>
      <c r="S35" s="51" t="str">
        <f t="shared" si="3"/>
        <v xml:space="preserve"> </v>
      </c>
      <c r="T35" s="51" t="str">
        <f t="shared" si="3"/>
        <v xml:space="preserve"> </v>
      </c>
      <c r="U35" s="51" t="str">
        <f t="shared" si="4"/>
        <v xml:space="preserve"> </v>
      </c>
      <c r="V35" s="51" t="str">
        <f t="shared" si="8"/>
        <v xml:space="preserve"> </v>
      </c>
      <c r="W35" s="51" t="str">
        <f t="shared" si="9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 x14ac:dyDescent="0.2">
      <c r="A36" s="18"/>
      <c r="B36" s="4">
        <v>34</v>
      </c>
      <c r="C36" s="69" t="s">
        <v>79</v>
      </c>
      <c r="D36" s="69" t="s">
        <v>101</v>
      </c>
      <c r="E36" s="69" t="s">
        <v>102</v>
      </c>
      <c r="F36" s="90" t="s">
        <v>120</v>
      </c>
      <c r="G36" s="45">
        <v>41421</v>
      </c>
      <c r="H36" s="45">
        <v>41428</v>
      </c>
      <c r="I36" s="43">
        <v>33</v>
      </c>
      <c r="J36" s="43">
        <v>2</v>
      </c>
      <c r="K36" s="3">
        <v>13</v>
      </c>
      <c r="L36" s="55" t="str">
        <f t="array" ref="L36">IF(ISNA(INDEX($O$2:$DA$2,1,MATCH(1,IF($O36:$DM36,1),0))),"",INDEX($O$2:$DA$2,1,MATCH(1,IF($O36:$DM36,1),0)))</f>
        <v/>
      </c>
      <c r="M36" s="55" t="str">
        <f t="shared" si="1"/>
        <v/>
      </c>
      <c r="N36" s="56">
        <f t="shared" si="5"/>
        <v>0</v>
      </c>
      <c r="O36" s="51"/>
      <c r="P36" s="51" t="str">
        <f t="shared" ref="P36:R36" si="17">IF(ISNUMBER(O36)," ",IF(O36="X","X"," "))</f>
        <v xml:space="preserve"> </v>
      </c>
      <c r="Q36" s="51" t="str">
        <f t="shared" si="17"/>
        <v xml:space="preserve"> </v>
      </c>
      <c r="R36" s="51" t="str">
        <f t="shared" si="17"/>
        <v xml:space="preserve"> </v>
      </c>
      <c r="S36" s="51" t="str">
        <f t="shared" si="3"/>
        <v xml:space="preserve"> </v>
      </c>
      <c r="T36" s="51" t="str">
        <f t="shared" si="3"/>
        <v xml:space="preserve"> </v>
      </c>
      <c r="U36" s="51" t="str">
        <f t="shared" si="4"/>
        <v xml:space="preserve"> </v>
      </c>
      <c r="V36" s="51" t="str">
        <f t="shared" si="8"/>
        <v xml:space="preserve"> </v>
      </c>
      <c r="W36" s="51" t="str">
        <f t="shared" si="9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 x14ac:dyDescent="0.2">
      <c r="A37" s="18"/>
      <c r="B37" s="4">
        <v>35</v>
      </c>
      <c r="C37" s="69" t="s">
        <v>79</v>
      </c>
      <c r="D37" s="69" t="s">
        <v>101</v>
      </c>
      <c r="E37" s="69" t="s">
        <v>103</v>
      </c>
      <c r="F37" s="90" t="s">
        <v>121</v>
      </c>
      <c r="G37" s="45">
        <v>41421</v>
      </c>
      <c r="H37" s="45">
        <v>41428</v>
      </c>
      <c r="I37" s="43">
        <v>33</v>
      </c>
      <c r="J37" s="43">
        <v>2</v>
      </c>
      <c r="K37" s="3">
        <v>20</v>
      </c>
      <c r="L37" s="55" t="str">
        <f t="array" ref="L37">IF(ISNA(INDEX($O$2:$DA$2,1,MATCH(1,IF($O37:$DM37,1),0))),"",INDEX($O$2:$DA$2,1,MATCH(1,IF($O37:$DM37,1),0)))</f>
        <v/>
      </c>
      <c r="M37" s="55" t="str">
        <f t="shared" si="1"/>
        <v/>
      </c>
      <c r="N37" s="56">
        <f t="shared" si="5"/>
        <v>0</v>
      </c>
      <c r="O37" s="51"/>
      <c r="P37" s="51" t="str">
        <f t="shared" ref="P37:W37" si="18">IF(ISNUMBER(O37)," ",IF(O37="X","X"," "))</f>
        <v xml:space="preserve"> </v>
      </c>
      <c r="Q37" s="51" t="str">
        <f t="shared" si="18"/>
        <v xml:space="preserve"> </v>
      </c>
      <c r="R37" s="51" t="str">
        <f t="shared" si="18"/>
        <v xml:space="preserve"> </v>
      </c>
      <c r="S37" s="51" t="str">
        <f t="shared" si="3"/>
        <v xml:space="preserve"> </v>
      </c>
      <c r="T37" s="51" t="str">
        <f t="shared" si="3"/>
        <v xml:space="preserve"> </v>
      </c>
      <c r="U37" s="51" t="str">
        <f t="shared" si="4"/>
        <v xml:space="preserve"> </v>
      </c>
      <c r="V37" s="51" t="str">
        <f t="shared" si="2"/>
        <v xml:space="preserve"> </v>
      </c>
      <c r="W37" s="51" t="str">
        <f t="shared" si="18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 x14ac:dyDescent="0.2">
      <c r="A38" s="18"/>
      <c r="B38" s="4"/>
      <c r="C38" s="69"/>
      <c r="D38" s="69"/>
      <c r="E38" s="69"/>
      <c r="F38" s="17"/>
      <c r="G38" s="45" t="str">
        <f t="shared" ref="G38:G39" ca="1" si="19">IF(OR(ISBLANK($G$3),ISBLANK($C38)),"",OFFSET($O$2,0,I38+MATCH(G37,$O$2:$W$2,0)-1))</f>
        <v/>
      </c>
      <c r="H38" s="45" t="str">
        <f t="shared" ref="H38" ca="1" si="20">IF(OR(ISBLANK($G$3),ISBLANK($C38)),"",OFFSET($O$2,0,J38+MATCH(G38,$O$2:$W$2,0)-1))</f>
        <v/>
      </c>
      <c r="I38" s="43"/>
      <c r="J38" s="43"/>
      <c r="K38" s="3"/>
      <c r="L38" s="55" t="str">
        <f t="array" ref="L38">IF(ISNA(INDEX($O$2:$DA$2,1,MATCH(1,IF($O38:$DM38,1),0))),"",INDEX($O$2:$DA$2,1,MATCH(1,IF($O38:$DM38,1),0)))</f>
        <v/>
      </c>
      <c r="M38" s="55" t="str">
        <f t="shared" si="1"/>
        <v/>
      </c>
      <c r="N38" s="56">
        <f t="shared" si="5"/>
        <v>0</v>
      </c>
      <c r="O38" s="51"/>
      <c r="P38" s="51" t="str">
        <f t="shared" ref="P38:W38" si="21">IF(ISNUMBER(O38)," ",IF(O38="X","X"," "))</f>
        <v xml:space="preserve"> </v>
      </c>
      <c r="Q38" s="51" t="str">
        <f t="shared" si="21"/>
        <v xml:space="preserve"> </v>
      </c>
      <c r="R38" s="51" t="str">
        <f t="shared" si="21"/>
        <v xml:space="preserve"> </v>
      </c>
      <c r="S38" s="51" t="str">
        <f t="shared" si="3"/>
        <v xml:space="preserve"> </v>
      </c>
      <c r="T38" s="51" t="str">
        <f t="shared" si="3"/>
        <v xml:space="preserve"> </v>
      </c>
      <c r="U38" s="51" t="str">
        <f t="shared" si="4"/>
        <v xml:space="preserve"> </v>
      </c>
      <c r="V38" s="51" t="str">
        <f t="shared" si="2"/>
        <v xml:space="preserve"> </v>
      </c>
      <c r="W38" s="51" t="str">
        <f t="shared" si="21"/>
        <v xml:space="preserve"> 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 x14ac:dyDescent="0.2">
      <c r="A39" s="18"/>
      <c r="B39" s="4"/>
      <c r="C39" s="4"/>
      <c r="D39" s="4"/>
      <c r="E39" s="4"/>
      <c r="F39" s="17"/>
      <c r="G39" s="45" t="str">
        <f t="shared" ca="1" si="19"/>
        <v/>
      </c>
      <c r="H39" s="45" t="str">
        <f ca="1">IF(OR(ISBLANK($G$3),ISBLANK($C39)),"",OFFSET($O$2,0,J39))</f>
        <v/>
      </c>
      <c r="I39" s="43"/>
      <c r="J39" s="43"/>
      <c r="K39" s="3"/>
      <c r="L39" s="55" t="str">
        <f t="array" ref="L39">IF(ISNA(INDEX($O$2:$DA$2,1,MATCH(1,IF($O39:$DM39,1),0))),"",INDEX($O$2:$DA$2,1,MATCH(1,IF($O39:$DM39,1),0)))</f>
        <v/>
      </c>
      <c r="M39" s="55" t="str">
        <f t="shared" si="1"/>
        <v/>
      </c>
      <c r="N39" s="56">
        <f t="shared" si="5"/>
        <v>0</v>
      </c>
      <c r="O39" s="51"/>
      <c r="P39" s="51" t="str">
        <f t="shared" ref="P39" si="22">IF(ISNUMBER(O39)," ",IF(O39="X","X"," "))</f>
        <v xml:space="preserve"> </v>
      </c>
      <c r="Q39" s="51" t="str">
        <f t="shared" ref="Q39" si="23">IF(ISNUMBER(P39)," ",IF(P39="X","X"," "))</f>
        <v xml:space="preserve"> </v>
      </c>
      <c r="R39" s="51" t="str">
        <f t="shared" ref="R39" si="24">IF(ISNUMBER(Q39)," ",IF(Q39="X","X"," "))</f>
        <v xml:space="preserve"> </v>
      </c>
      <c r="S39" s="51" t="str">
        <f t="shared" si="3"/>
        <v xml:space="preserve"> </v>
      </c>
      <c r="T39" s="51" t="str">
        <f t="shared" si="3"/>
        <v xml:space="preserve"> </v>
      </c>
      <c r="U39" s="51" t="str">
        <f t="shared" si="4"/>
        <v xml:space="preserve"> </v>
      </c>
      <c r="V39" s="51" t="str">
        <f t="shared" si="2"/>
        <v xml:space="preserve"> </v>
      </c>
      <c r="W39" s="51" t="str">
        <f t="shared" ref="W39" si="25">IF(ISNUMBER(V39)," ",IF(V39="X","X"," "))</f>
        <v xml:space="preserve"> 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 x14ac:dyDescent="0.2">
      <c r="A40" s="18"/>
      <c r="B40" s="18"/>
      <c r="C40" s="18"/>
      <c r="D40" s="18"/>
      <c r="E40" s="18"/>
      <c r="F40" s="18"/>
      <c r="G40" s="18"/>
      <c r="H40" s="18"/>
      <c r="I40" s="64" t="s">
        <v>59</v>
      </c>
      <c r="J40" s="48">
        <f>MATCH(MAX($O$2:$W$2),$O$2:$W$2,0)-1</f>
        <v>8</v>
      </c>
      <c r="K40" s="18"/>
      <c r="L40" s="18"/>
      <c r="M40" s="18"/>
      <c r="N40" s="38" t="s">
        <v>61</v>
      </c>
      <c r="O40" s="56">
        <f t="shared" ref="O40:W40" si="26">SUM(O3:O39)</f>
        <v>21.75</v>
      </c>
      <c r="P40" s="56">
        <f t="shared" si="26"/>
        <v>0</v>
      </c>
      <c r="Q40" s="56">
        <f t="shared" si="26"/>
        <v>0</v>
      </c>
      <c r="R40" s="56">
        <f t="shared" si="26"/>
        <v>0</v>
      </c>
      <c r="S40" s="56">
        <f t="shared" si="26"/>
        <v>0</v>
      </c>
      <c r="T40" s="56">
        <f t="shared" si="26"/>
        <v>0</v>
      </c>
      <c r="U40" s="56">
        <f t="shared" si="26"/>
        <v>0</v>
      </c>
      <c r="V40" s="56">
        <f t="shared" si="26"/>
        <v>0</v>
      </c>
      <c r="W40" s="56">
        <f t="shared" si="26"/>
        <v>0</v>
      </c>
      <c r="X40" s="18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 x14ac:dyDescent="0.2">
      <c r="A41" s="18"/>
      <c r="B41" s="18"/>
      <c r="C41" s="18"/>
      <c r="D41" s="18"/>
      <c r="E41" s="18"/>
      <c r="F41" s="18"/>
      <c r="G41" s="18"/>
      <c r="H41" s="18"/>
      <c r="I41" s="102" t="s">
        <v>60</v>
      </c>
      <c r="J41" s="103"/>
      <c r="K41" s="48">
        <f>K43/J40</f>
        <v>31.84375</v>
      </c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 ht="48.75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27">
        <f t="shared" ref="N42:W42" si="27">IF(OR(ISBLANK(O2),O2=$X$2),"",O2)</f>
        <v>41372</v>
      </c>
      <c r="O42" s="27">
        <f t="shared" si="27"/>
        <v>41379</v>
      </c>
      <c r="P42" s="27">
        <f t="shared" si="27"/>
        <v>41386</v>
      </c>
      <c r="Q42" s="27">
        <f t="shared" si="27"/>
        <v>41393</v>
      </c>
      <c r="R42" s="27">
        <f t="shared" si="27"/>
        <v>41407</v>
      </c>
      <c r="S42" s="27">
        <f t="shared" si="27"/>
        <v>41414</v>
      </c>
      <c r="T42" s="27">
        <f t="shared" si="27"/>
        <v>41421</v>
      </c>
      <c r="U42" s="27">
        <f t="shared" si="27"/>
        <v>41428</v>
      </c>
      <c r="V42" s="27">
        <f t="shared" si="27"/>
        <v>41435</v>
      </c>
      <c r="W42" s="27" t="str">
        <f t="shared" si="27"/>
        <v/>
      </c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 x14ac:dyDescent="0.2">
      <c r="A43" s="29"/>
      <c r="B43" s="29"/>
      <c r="C43" s="99" t="s">
        <v>0</v>
      </c>
      <c r="D43" s="100"/>
      <c r="E43" s="100"/>
      <c r="F43" s="100"/>
      <c r="G43" s="100"/>
      <c r="H43" s="100"/>
      <c r="I43" s="101"/>
      <c r="J43" s="30">
        <f ca="1">MAX(H3:H38)-MIN(G3:G38)</f>
        <v>56</v>
      </c>
      <c r="K43" s="30">
        <f>SUM(K3:K39)</f>
        <v>254.75</v>
      </c>
      <c r="L43" s="31"/>
      <c r="M43" s="32"/>
      <c r="N43" s="68">
        <v>296</v>
      </c>
      <c r="O43" s="50">
        <f t="shared" ref="O43:U43" si="28">IF(O42="","",N43)</f>
        <v>296</v>
      </c>
      <c r="P43" s="50">
        <f t="shared" si="28"/>
        <v>296</v>
      </c>
      <c r="Q43" s="50">
        <f t="shared" si="28"/>
        <v>296</v>
      </c>
      <c r="R43" s="50">
        <f t="shared" si="28"/>
        <v>296</v>
      </c>
      <c r="S43" s="50">
        <f t="shared" si="28"/>
        <v>296</v>
      </c>
      <c r="T43" s="50">
        <f t="shared" si="28"/>
        <v>296</v>
      </c>
      <c r="U43" s="50">
        <f t="shared" si="28"/>
        <v>296</v>
      </c>
      <c r="V43" s="50"/>
      <c r="W43" s="50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 x14ac:dyDescent="0.2">
      <c r="A44" s="29"/>
      <c r="B44" s="29"/>
      <c r="C44" s="59" t="s">
        <v>31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34">
        <f ca="1">IF(N42="","",M44+IF(ISNA(VLOOKUP(O2,$H$2:$H$39,2,FALSE)),0,SUM(IF($H$2:$K$39=O2,$K$2:$K$39))))</f>
        <v>0</v>
      </c>
      <c r="O44" s="34">
        <f t="array" aca="1" ref="O44" ca="1">IF(O42="","",N44+IF(ISNA(VLOOKUP(P2,$H$2:$H$39,2,FALSE)),0,SUM(IF($H$2:$K$39=P2,$K$2:$K$39))))</f>
        <v>26</v>
      </c>
      <c r="P44" s="34">
        <f t="array" aca="1" ref="P44" ca="1">IF(P42="","",O44+IF(ISNA(VLOOKUP(Q2,$H$2:$H$39,2,FALSE)),0,SUM(IF($H$2:$K$39=Q2,$K$2:$K$39))))</f>
        <v>26</v>
      </c>
      <c r="Q44" s="34">
        <f t="array" aca="1" ref="Q44" ca="1">IF(Q42="","",P44+IF(ISNA(VLOOKUP(R2,$H$2:$H$39,2,FALSE)),0,SUM(IF($H$2:$K$39=R2,$K$2:$K$39))))</f>
        <v>75.75</v>
      </c>
      <c r="R44" s="34">
        <f t="array" aca="1" ref="R44" ca="1">IF(R42="","",Q44+IF(ISNA(VLOOKUP(S2,$H$2:$H$39,2,FALSE)),0,SUM(IF($H$2:$K$39=S2,$K$2:$K$39))))</f>
        <v>135.75</v>
      </c>
      <c r="S44" s="34">
        <f t="array" aca="1" ref="S44" ca="1">IF(S42="","",R44+IF(ISNA(VLOOKUP(T2,$H$2:$H$39,2,FALSE)),0,SUM(IF($H$2:$K$39=T2,$K$2:$K$39))))</f>
        <v>183.75</v>
      </c>
      <c r="T44" s="34">
        <f t="array" aca="1" ref="T44" ca="1">IF(T42="","",S44+IF(ISNA(VLOOKUP(U2,$H$2:$H$39,2,FALSE)),0,SUM(IF($H$2:$K$39=U2,$K$2:$K$39))))</f>
        <v>220.75</v>
      </c>
      <c r="U44" s="34">
        <f t="array" aca="1" ref="U44" ca="1">IF(U42="","",T44+IF(ISNA(VLOOKUP(V2,$H$2:$H$39,2,FALSE)),0,SUM(IF($H$2:$K$39=V2,$K$2:$K$39))))</f>
        <v>254.75</v>
      </c>
      <c r="V44" s="34"/>
      <c r="W44" s="34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 x14ac:dyDescent="0.2">
      <c r="A45" s="18"/>
      <c r="B45" s="18"/>
      <c r="C45" s="61" t="s">
        <v>15</v>
      </c>
      <c r="D45" s="62"/>
      <c r="E45" s="62"/>
      <c r="F45" s="62"/>
      <c r="G45" s="62"/>
      <c r="H45" s="62"/>
      <c r="I45" s="62"/>
      <c r="J45" s="62"/>
      <c r="K45" s="62"/>
      <c r="L45" s="62"/>
      <c r="M45" s="62"/>
      <c r="N45" s="65">
        <v>0</v>
      </c>
      <c r="O45" s="6">
        <f>SUMIFS($K$3:$K$39,P3:P39,"=X")</f>
        <v>26</v>
      </c>
      <c r="P45" s="6">
        <f>SUMIFS($K$3:$K$39,Q3:Q39,"=X")</f>
        <v>13</v>
      </c>
      <c r="Q45" s="6">
        <f>SUMIFS($K$3:$K$39,R3:R39,"=X")</f>
        <v>13</v>
      </c>
      <c r="R45" s="6">
        <f>SUMIFS($K$3:$K$39,S3:S39,"=X")</f>
        <v>13</v>
      </c>
      <c r="S45" s="6"/>
      <c r="T45" s="6"/>
      <c r="U45" s="6"/>
      <c r="V45" s="6"/>
      <c r="W45" s="6"/>
      <c r="X45" s="18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 x14ac:dyDescent="0.2">
      <c r="A46" s="18"/>
      <c r="B46" s="18"/>
      <c r="C46" s="63" t="s">
        <v>32</v>
      </c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66">
        <v>0</v>
      </c>
      <c r="O46" s="6">
        <f>SUM(O3:O39)+N46</f>
        <v>21.75</v>
      </c>
      <c r="P46" s="6">
        <f>SUM(P3:P39)+O46</f>
        <v>21.75</v>
      </c>
      <c r="Q46" s="6">
        <f>SUM(Q3:Q39)+P46</f>
        <v>21.75</v>
      </c>
      <c r="R46" s="6">
        <f>SUM(R3:R39)+Q46</f>
        <v>21.75</v>
      </c>
      <c r="S46" s="6"/>
      <c r="T46" s="6"/>
      <c r="U46" s="6"/>
      <c r="V46" s="6"/>
      <c r="W46" s="6"/>
      <c r="X46" s="18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s="22" customFormat="1" x14ac:dyDescent="0.2">
      <c r="A47" s="18"/>
      <c r="B47" s="18"/>
      <c r="C47" s="19"/>
      <c r="D47" s="19"/>
      <c r="E47" s="19"/>
      <c r="F47" s="19"/>
      <c r="G47" s="19"/>
      <c r="H47" s="19"/>
      <c r="I47" s="19"/>
      <c r="J47" s="19"/>
      <c r="K47" s="19"/>
      <c r="L47" s="35"/>
      <c r="M47" s="35"/>
      <c r="N47" s="35"/>
      <c r="O47" s="36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 x14ac:dyDescent="0.2">
      <c r="A48" s="18"/>
      <c r="B48" s="18"/>
      <c r="C48" s="19"/>
      <c r="D48" s="19"/>
      <c r="E48" s="19"/>
      <c r="F48" s="19"/>
      <c r="G48" s="19"/>
      <c r="H48" s="19"/>
      <c r="I48" s="19"/>
      <c r="J48" s="19"/>
      <c r="K48" s="19"/>
      <c r="L48" s="35"/>
      <c r="M48" s="91" t="s">
        <v>19</v>
      </c>
      <c r="N48" s="92"/>
      <c r="O48" s="20" t="s">
        <v>18</v>
      </c>
      <c r="P48" s="21"/>
      <c r="Q48" s="21"/>
      <c r="R48" s="21"/>
      <c r="S48" s="21"/>
      <c r="T48" s="21"/>
      <c r="U48" s="21"/>
      <c r="V48" s="21"/>
      <c r="W48" s="21"/>
      <c r="X48" s="18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 ht="48.75" x14ac:dyDescent="0.2">
      <c r="A49" s="18"/>
      <c r="B49" s="18"/>
      <c r="C49" s="19"/>
      <c r="D49" s="19"/>
      <c r="E49" s="19"/>
      <c r="F49" s="19"/>
      <c r="G49" s="19"/>
      <c r="H49" s="19"/>
      <c r="I49" s="19"/>
      <c r="J49" s="19"/>
      <c r="K49" s="19"/>
      <c r="L49" s="35"/>
      <c r="M49" s="23" t="s">
        <v>5</v>
      </c>
      <c r="N49" s="23" t="s">
        <v>7</v>
      </c>
      <c r="O49" s="27">
        <f t="shared" ref="O49:V49" si="29">O2</f>
        <v>41372</v>
      </c>
      <c r="P49" s="39">
        <f t="shared" si="29"/>
        <v>41379</v>
      </c>
      <c r="Q49" s="39">
        <f t="shared" si="29"/>
        <v>41386</v>
      </c>
      <c r="R49" s="39">
        <f t="shared" si="29"/>
        <v>41393</v>
      </c>
      <c r="S49" s="39">
        <f t="shared" si="29"/>
        <v>41407</v>
      </c>
      <c r="T49" s="39">
        <f t="shared" si="29"/>
        <v>41414</v>
      </c>
      <c r="U49" s="39">
        <f t="shared" si="29"/>
        <v>41421</v>
      </c>
      <c r="V49" s="39">
        <f t="shared" si="29"/>
        <v>41428</v>
      </c>
      <c r="W49" s="39"/>
      <c r="X49" s="23" t="s">
        <v>13</v>
      </c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 x14ac:dyDescent="0.2">
      <c r="A50" s="18"/>
      <c r="B50" s="18"/>
      <c r="C50" s="19"/>
      <c r="D50" s="19"/>
      <c r="E50" s="19"/>
      <c r="F50" s="19"/>
      <c r="G50" s="19"/>
      <c r="H50" s="19"/>
      <c r="I50" s="19"/>
      <c r="J50" s="19"/>
      <c r="K50" s="19"/>
      <c r="L50" s="35"/>
      <c r="M50" s="49" t="s">
        <v>104</v>
      </c>
      <c r="N50" s="37">
        <f>SUM(O50:CG50)</f>
        <v>0</v>
      </c>
      <c r="O50" s="37">
        <f t="shared" ref="O50:W51" si="30">SUMIF($F$3:$F$39,$M50,O$3:O$39)</f>
        <v>0</v>
      </c>
      <c r="P50" s="37">
        <f t="shared" si="30"/>
        <v>0</v>
      </c>
      <c r="Q50" s="37">
        <f t="shared" si="30"/>
        <v>0</v>
      </c>
      <c r="R50" s="37">
        <f t="shared" si="30"/>
        <v>0</v>
      </c>
      <c r="S50" s="37">
        <f t="shared" si="30"/>
        <v>0</v>
      </c>
      <c r="T50" s="37">
        <f t="shared" si="30"/>
        <v>0</v>
      </c>
      <c r="U50" s="37">
        <f t="shared" si="30"/>
        <v>0</v>
      </c>
      <c r="V50" s="37">
        <f t="shared" si="30"/>
        <v>0</v>
      </c>
      <c r="W50" s="37">
        <f t="shared" si="30"/>
        <v>0</v>
      </c>
      <c r="X50" s="5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 x14ac:dyDescent="0.2">
      <c r="A51" s="18"/>
      <c r="B51" s="18"/>
      <c r="C51" s="19"/>
      <c r="D51" s="19"/>
      <c r="E51" s="19"/>
      <c r="F51" s="19"/>
      <c r="G51" s="19"/>
      <c r="H51" s="19"/>
      <c r="I51" s="19"/>
      <c r="J51" s="19"/>
      <c r="K51" s="19"/>
      <c r="L51" s="35"/>
      <c r="M51" s="49" t="s">
        <v>105</v>
      </c>
      <c r="N51" s="37">
        <f>SUM(O51:CG51)</f>
        <v>0</v>
      </c>
      <c r="O51" s="37">
        <f t="shared" si="30"/>
        <v>0</v>
      </c>
      <c r="P51" s="37">
        <f t="shared" si="30"/>
        <v>0</v>
      </c>
      <c r="Q51" s="37">
        <f t="shared" si="30"/>
        <v>0</v>
      </c>
      <c r="R51" s="37">
        <f t="shared" si="30"/>
        <v>0</v>
      </c>
      <c r="S51" s="37">
        <f t="shared" si="30"/>
        <v>0</v>
      </c>
      <c r="T51" s="37">
        <f t="shared" si="30"/>
        <v>0</v>
      </c>
      <c r="U51" s="37">
        <f t="shared" si="30"/>
        <v>0</v>
      </c>
      <c r="V51" s="37">
        <f t="shared" si="30"/>
        <v>0</v>
      </c>
      <c r="W51" s="37">
        <f t="shared" si="30"/>
        <v>0</v>
      </c>
      <c r="X51" s="5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x14ac:dyDescent="0.2">
      <c r="A52" s="18"/>
      <c r="B52" s="18"/>
      <c r="C52" s="19"/>
      <c r="D52" s="19"/>
      <c r="E52" s="19"/>
      <c r="F52" s="19"/>
      <c r="G52" s="19"/>
      <c r="H52" s="19"/>
      <c r="I52" s="19"/>
      <c r="J52" s="19"/>
      <c r="K52" s="19"/>
      <c r="L52" s="35"/>
      <c r="M52" s="49" t="s">
        <v>106</v>
      </c>
      <c r="N52" s="37">
        <v>0</v>
      </c>
      <c r="O52" s="37">
        <v>0</v>
      </c>
      <c r="P52" s="37">
        <v>0</v>
      </c>
      <c r="Q52" s="37">
        <v>0</v>
      </c>
      <c r="R52" s="37">
        <v>0</v>
      </c>
      <c r="S52" s="37">
        <v>0</v>
      </c>
      <c r="T52" s="37">
        <v>0</v>
      </c>
      <c r="U52" s="37">
        <v>0</v>
      </c>
      <c r="V52" s="37">
        <v>0</v>
      </c>
      <c r="W52" s="37">
        <v>0</v>
      </c>
      <c r="X52" s="5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 x14ac:dyDescent="0.2">
      <c r="A53" s="18"/>
      <c r="B53" s="18"/>
      <c r="C53" s="19"/>
      <c r="D53" s="19"/>
      <c r="E53" s="19"/>
      <c r="F53" s="19"/>
      <c r="G53" s="19"/>
      <c r="H53" s="19"/>
      <c r="I53" s="19"/>
      <c r="J53" s="19"/>
      <c r="K53" s="19"/>
      <c r="L53" s="35"/>
      <c r="M53" s="49" t="s">
        <v>108</v>
      </c>
      <c r="N53" s="37">
        <v>0</v>
      </c>
      <c r="O53" s="37">
        <v>0</v>
      </c>
      <c r="P53" s="37">
        <v>0</v>
      </c>
      <c r="Q53" s="37">
        <v>0</v>
      </c>
      <c r="R53" s="37">
        <v>0</v>
      </c>
      <c r="S53" s="37">
        <v>0</v>
      </c>
      <c r="T53" s="37">
        <v>0</v>
      </c>
      <c r="U53" s="37">
        <v>0</v>
      </c>
      <c r="V53" s="37">
        <v>0</v>
      </c>
      <c r="W53" s="37">
        <v>0</v>
      </c>
      <c r="X53" s="5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x14ac:dyDescent="0.2">
      <c r="A54" s="18"/>
      <c r="B54" s="18"/>
      <c r="C54" s="19"/>
      <c r="D54" s="19"/>
      <c r="E54" s="19"/>
      <c r="F54" s="19"/>
      <c r="G54" s="19"/>
      <c r="H54" s="19"/>
      <c r="I54" s="19"/>
      <c r="J54" s="19"/>
      <c r="K54" s="19"/>
      <c r="L54" s="35"/>
      <c r="M54" s="49" t="s">
        <v>112</v>
      </c>
      <c r="N54" s="37">
        <v>0</v>
      </c>
      <c r="O54" s="37">
        <v>0</v>
      </c>
      <c r="P54" s="37">
        <v>0</v>
      </c>
      <c r="Q54" s="37">
        <v>0</v>
      </c>
      <c r="R54" s="37">
        <v>0</v>
      </c>
      <c r="S54" s="37">
        <v>0</v>
      </c>
      <c r="T54" s="37">
        <v>0</v>
      </c>
      <c r="U54" s="37">
        <v>0</v>
      </c>
      <c r="V54" s="37">
        <v>0</v>
      </c>
      <c r="W54" s="37">
        <v>0</v>
      </c>
      <c r="X54" s="5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x14ac:dyDescent="0.2">
      <c r="A55" s="18"/>
      <c r="B55" s="18"/>
      <c r="C55" s="19"/>
      <c r="D55" s="19"/>
      <c r="E55" s="19"/>
      <c r="F55" s="19"/>
      <c r="G55" s="19"/>
      <c r="H55" s="19"/>
      <c r="I55" s="19"/>
      <c r="J55" s="19"/>
      <c r="K55" s="19"/>
      <c r="L55" s="35"/>
      <c r="M55" s="49" t="s">
        <v>108</v>
      </c>
      <c r="N55" s="37">
        <v>0</v>
      </c>
      <c r="O55" s="37">
        <v>0</v>
      </c>
      <c r="P55" s="37">
        <v>0</v>
      </c>
      <c r="Q55" s="37">
        <v>0</v>
      </c>
      <c r="R55" s="37">
        <v>0</v>
      </c>
      <c r="S55" s="37">
        <v>0</v>
      </c>
      <c r="T55" s="37">
        <v>0</v>
      </c>
      <c r="U55" s="37">
        <v>0</v>
      </c>
      <c r="V55" s="37">
        <v>0</v>
      </c>
      <c r="W55" s="37">
        <v>0</v>
      </c>
      <c r="X55" s="5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x14ac:dyDescent="0.2">
      <c r="A56" s="18"/>
      <c r="B56" s="18"/>
      <c r="C56" s="19"/>
      <c r="D56" s="19"/>
      <c r="E56" s="19"/>
      <c r="F56" s="19"/>
      <c r="G56" s="19"/>
      <c r="H56" s="19"/>
      <c r="I56" s="19"/>
      <c r="J56" s="19"/>
      <c r="K56" s="19"/>
      <c r="L56" s="35"/>
      <c r="M56" s="49" t="s">
        <v>107</v>
      </c>
      <c r="N56" s="37">
        <f>SUM(O56:CG56)</f>
        <v>0</v>
      </c>
      <c r="O56" s="37">
        <f t="shared" ref="O56:V57" si="31">SUMIF($F$3:$F$39,$M56,O$3:O$39)</f>
        <v>0</v>
      </c>
      <c r="P56" s="37">
        <f t="shared" si="31"/>
        <v>0</v>
      </c>
      <c r="Q56" s="37">
        <f t="shared" si="31"/>
        <v>0</v>
      </c>
      <c r="R56" s="37">
        <f t="shared" si="31"/>
        <v>0</v>
      </c>
      <c r="S56" s="37">
        <f t="shared" si="31"/>
        <v>0</v>
      </c>
      <c r="T56" s="37">
        <f t="shared" si="31"/>
        <v>0</v>
      </c>
      <c r="U56" s="37">
        <f t="shared" si="31"/>
        <v>0</v>
      </c>
      <c r="V56" s="37">
        <f t="shared" si="31"/>
        <v>0</v>
      </c>
      <c r="W56" s="37">
        <v>0</v>
      </c>
      <c r="X56" s="5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 x14ac:dyDescent="0.2">
      <c r="A57" s="18"/>
      <c r="B57" s="18"/>
      <c r="C57" s="19"/>
      <c r="D57" s="19"/>
      <c r="E57" s="19"/>
      <c r="F57" s="19"/>
      <c r="G57" s="19"/>
      <c r="H57" s="19"/>
      <c r="I57" s="57"/>
      <c r="J57" s="19"/>
      <c r="K57" s="19"/>
      <c r="L57" s="35"/>
      <c r="M57" s="49"/>
      <c r="N57" s="37">
        <f>SUM(O57:CG57)</f>
        <v>0</v>
      </c>
      <c r="O57" s="37">
        <f t="shared" si="31"/>
        <v>0</v>
      </c>
      <c r="P57" s="37">
        <f t="shared" si="31"/>
        <v>0</v>
      </c>
      <c r="Q57" s="37">
        <f t="shared" si="31"/>
        <v>0</v>
      </c>
      <c r="R57" s="37">
        <f t="shared" si="31"/>
        <v>0</v>
      </c>
      <c r="S57" s="37">
        <f t="shared" si="31"/>
        <v>0</v>
      </c>
      <c r="T57" s="37">
        <f t="shared" si="31"/>
        <v>0</v>
      </c>
      <c r="U57" s="37">
        <f t="shared" si="31"/>
        <v>0</v>
      </c>
      <c r="V57" s="37">
        <f t="shared" si="31"/>
        <v>0</v>
      </c>
      <c r="W57" s="37">
        <f>SUMIF($F$3:$F$39,$M57,W$3:W$39)</f>
        <v>0</v>
      </c>
      <c r="X57" s="5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 x14ac:dyDescent="0.2">
      <c r="A58" s="18"/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35"/>
      <c r="M58" s="47" t="s">
        <v>20</v>
      </c>
      <c r="N58" s="48">
        <f>SUM(N50:N57)</f>
        <v>0</v>
      </c>
      <c r="O58" s="48">
        <f t="shared" ref="O58:W58" si="32">SUM(O50:O57)</f>
        <v>0</v>
      </c>
      <c r="P58" s="48">
        <f t="shared" si="32"/>
        <v>0</v>
      </c>
      <c r="Q58" s="48">
        <f t="shared" si="32"/>
        <v>0</v>
      </c>
      <c r="R58" s="48">
        <f t="shared" si="32"/>
        <v>0</v>
      </c>
      <c r="S58" s="48">
        <f t="shared" si="32"/>
        <v>0</v>
      </c>
      <c r="T58" s="48">
        <f t="shared" si="32"/>
        <v>0</v>
      </c>
      <c r="U58" s="48">
        <f t="shared" si="32"/>
        <v>0</v>
      </c>
      <c r="V58" s="48">
        <f t="shared" si="32"/>
        <v>0</v>
      </c>
      <c r="W58" s="48">
        <f t="shared" si="32"/>
        <v>0</v>
      </c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x14ac:dyDescent="0.2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35"/>
      <c r="N59" s="35"/>
      <c r="O59" s="36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 x14ac:dyDescent="0.2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35"/>
      <c r="N60" s="35"/>
      <c r="O60" s="36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 x14ac:dyDescent="0.2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35"/>
      <c r="N61" s="35"/>
      <c r="O61" s="36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 x14ac:dyDescent="0.2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35"/>
      <c r="N62" s="35"/>
      <c r="O62" s="36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 x14ac:dyDescent="0.2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58" t="e">
        <f>MATCH(R2,Y2:AC2,0)</f>
        <v>#N/A</v>
      </c>
      <c r="N63" s="35"/>
      <c r="O63" s="36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 x14ac:dyDescent="0.2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35"/>
      <c r="N64" s="35"/>
      <c r="O64" s="36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 x14ac:dyDescent="0.2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35"/>
      <c r="N65" s="35"/>
      <c r="O65" s="36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 x14ac:dyDescent="0.2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35"/>
      <c r="N66" s="35"/>
      <c r="O66" s="36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 x14ac:dyDescent="0.2">
      <c r="A67" s="18"/>
      <c r="B67" s="18"/>
      <c r="C67" s="19"/>
      <c r="D67" s="19"/>
      <c r="E67" s="19"/>
      <c r="F67" s="19"/>
      <c r="G67" s="19"/>
      <c r="H67" s="19"/>
      <c r="I67" s="19"/>
      <c r="J67" s="19"/>
      <c r="K67" s="19"/>
      <c r="L67" s="35"/>
      <c r="M67" s="35"/>
      <c r="N67" s="35"/>
      <c r="O67" s="36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 x14ac:dyDescent="0.2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35"/>
      <c r="N68" s="35"/>
      <c r="O68" s="36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 x14ac:dyDescent="0.2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 x14ac:dyDescent="0.2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 x14ac:dyDescent="0.2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48:N48"/>
    <mergeCell ref="G1:K1"/>
    <mergeCell ref="L1:N1"/>
    <mergeCell ref="C43:I43"/>
    <mergeCell ref="I41:J41"/>
  </mergeCells>
  <conditionalFormatting sqref="L3:M39">
    <cfRule type="containsBlanks" priority="65" stopIfTrue="1">
      <formula>LEN(TRIM(L3))=0</formula>
    </cfRule>
  </conditionalFormatting>
  <conditionalFormatting sqref="M13:M39">
    <cfRule type="cellIs" dxfId="18" priority="117" operator="greaterThan">
      <formula>#REF!</formula>
    </cfRule>
    <cfRule type="cellIs" dxfId="17" priority="118" operator="lessThan">
      <formula>#REF!</formula>
    </cfRule>
  </conditionalFormatting>
  <conditionalFormatting sqref="L3:M39">
    <cfRule type="cellIs" dxfId="16" priority="124" operator="greaterThan">
      <formula>G3</formula>
    </cfRule>
    <cfRule type="cellIs" dxfId="15" priority="125" operator="lessThan">
      <formula>G3</formula>
    </cfRule>
  </conditionalFormatting>
  <conditionalFormatting sqref="N3:N39">
    <cfRule type="cellIs" priority="128" stopIfTrue="1" operator="equal">
      <formula>0</formula>
    </cfRule>
    <cfRule type="cellIs" dxfId="14" priority="129" operator="lessThan">
      <formula>K3</formula>
    </cfRule>
    <cfRule type="cellIs" dxfId="13" priority="130" operator="greaterThan">
      <formula>K3</formula>
    </cfRule>
  </conditionalFormatting>
  <conditionalFormatting sqref="O43:W43">
    <cfRule type="expression" dxfId="12" priority="145">
      <formula>O43=N$43</formula>
    </cfRule>
  </conditionalFormatting>
  <conditionalFormatting sqref="O45:W45">
    <cfRule type="cellIs" dxfId="11" priority="22" operator="greaterThan">
      <formula>0</formula>
    </cfRule>
  </conditionalFormatting>
  <conditionalFormatting sqref="O46:W46">
    <cfRule type="cellIs" dxfId="10" priority="21" operator="greaterThan">
      <formula>0</formula>
    </cfRule>
  </conditionalFormatting>
  <conditionalFormatting sqref="G3:H39">
    <cfRule type="expression" dxfId="9" priority="11">
      <formula>FormulaInCell</formula>
    </cfRule>
  </conditionalFormatting>
  <conditionalFormatting sqref="O3:W39">
    <cfRule type="cellIs" dxfId="8" priority="18" operator="equal">
      <formula>"X"</formula>
    </cfRule>
    <cfRule type="cellIs" dxfId="7" priority="19" operator="greaterThan">
      <formula>0</formula>
    </cfRule>
    <cfRule type="expression" dxfId="6" priority="20">
      <formula>AND(O$2&gt;=$G3,O$2&lt;$H3,ISNUMBER(O3))</formula>
    </cfRule>
    <cfRule type="expression" dxfId="5" priority="23">
      <formula>AND(O$2&gt;=$G3,O$2&lt;$H3)</formula>
    </cfRule>
    <cfRule type="expression" dxfId="4" priority="24">
      <formula>AND(ISNUMBER(O3))</formula>
    </cfRule>
  </conditionalFormatting>
  <conditionalFormatting sqref="O49:W49 O2:W2">
    <cfRule type="expression" dxfId="3" priority="6">
      <formula>O2&gt;MAX($H$3:$H$39)</formula>
    </cfRule>
  </conditionalFormatting>
  <conditionalFormatting sqref="N42:W42">
    <cfRule type="expression" dxfId="2" priority="4">
      <formula>N42&gt;MAX($H$3:$H$39)</formula>
    </cfRule>
  </conditionalFormatting>
  <conditionalFormatting sqref="O40:W40">
    <cfRule type="cellIs" priority="1" stopIfTrue="1" operator="equal">
      <formula>0</formula>
    </cfRule>
    <cfRule type="cellIs" dxfId="1" priority="2" operator="lessThan">
      <formula>$K$41</formula>
    </cfRule>
    <cfRule type="cellIs" dxfId="0" priority="3" operator="greaterThan">
      <formula>$K$41</formula>
    </cfRule>
  </conditionalFormatting>
  <dataValidations count="2">
    <dataValidation type="decimal" allowBlank="1" showInputMessage="1" showErrorMessage="1" error="Please enter a valid number." sqref="WSV983041:WTE983044 WIZ983041:WJI983044 VZD983041:VZM983044 VPH983041:VPQ983044 VFL983041:VFU983044 UVP983041:UVY983044 ULT983041:UMC983044 UBX983041:UCG983044 TSB983041:TSK983044 TIF983041:TIO983044 SYJ983041:SYS983044 SON983041:SOW983044 SER983041:SFA983044 RUV983041:RVE983044 RKZ983041:RLI983044 RBD983041:RBM983044 QRH983041:QRQ983044 QHL983041:QHU983044 PXP983041:PXY983044 PNT983041:POC983044 PDX983041:PEG983044 OUB983041:OUK983044 OKF983041:OKO983044 OAJ983041:OAS983044 NQN983041:NQW983044 NGR983041:NHA983044 MWV983041:MXE983044 MMZ983041:MNI983044 MDD983041:MDM983044 LTH983041:LTQ983044 LJL983041:LJU983044 KZP983041:KZY983044 KPT983041:KQC983044 KFX983041:KGG983044 JWB983041:JWK983044 JMF983041:JMO983044 JCJ983041:JCS983044 ISN983041:ISW983044 IIR983041:IJA983044 HYV983041:HZE983044 HOZ983041:HPI983044 HFD983041:HFM983044 GVH983041:GVQ983044 GLL983041:GLU983044 GBP983041:GBY983044 FRT983041:FSC983044 FHX983041:FIG983044 EYB983041:EYK983044 EOF983041:EOO983044 EEJ983041:EES983044 DUN983041:DUW983044 DKR983041:DLA983044 DAV983041:DBE983044 CQZ983041:CRI983044 CHD983041:CHM983044 BXH983041:BXQ983044 BNL983041:BNU983044 BDP983041:BDY983044 ATT983041:AUC983044 AJX983041:AKG983044 AAB983041:AAK983044 QF983041:QO983044 GJ983041:GS983044 WSV917505:WTE917508 WIZ917505:WJI917508 VZD917505:VZM917508 VPH917505:VPQ917508 VFL917505:VFU917508 UVP917505:UVY917508 ULT917505:UMC917508 UBX917505:UCG917508 TSB917505:TSK917508 TIF917505:TIO917508 SYJ917505:SYS917508 SON917505:SOW917508 SER917505:SFA917508 RUV917505:RVE917508 RKZ917505:RLI917508 RBD917505:RBM917508 QRH917505:QRQ917508 QHL917505:QHU917508 PXP917505:PXY917508 PNT917505:POC917508 PDX917505:PEG917508 OUB917505:OUK917508 OKF917505:OKO917508 OAJ917505:OAS917508 NQN917505:NQW917508 NGR917505:NHA917508 MWV917505:MXE917508 MMZ917505:MNI917508 MDD917505:MDM917508 LTH917505:LTQ917508 LJL917505:LJU917508 KZP917505:KZY917508 KPT917505:KQC917508 KFX917505:KGG917508 JWB917505:JWK917508 JMF917505:JMO917508 JCJ917505:JCS917508 ISN917505:ISW917508 IIR917505:IJA917508 HYV917505:HZE917508 HOZ917505:HPI917508 HFD917505:HFM917508 GVH917505:GVQ917508 GLL917505:GLU917508 GBP917505:GBY917508 FRT917505:FSC917508 FHX917505:FIG917508 EYB917505:EYK917508 EOF917505:EOO917508 EEJ917505:EES917508 DUN917505:DUW917508 DKR917505:DLA917508 DAV917505:DBE917508 CQZ917505:CRI917508 CHD917505:CHM917508 BXH917505:BXQ917508 BNL917505:BNU917508 BDP917505:BDY917508 ATT917505:AUC917508 AJX917505:AKG917508 AAB917505:AAK917508 QF917505:QO917508 GJ917505:GS917508 WSV851969:WTE851972 WIZ851969:WJI851972 VZD851969:VZM851972 VPH851969:VPQ851972 VFL851969:VFU851972 UVP851969:UVY851972 ULT851969:UMC851972 UBX851969:UCG851972 TSB851969:TSK851972 TIF851969:TIO851972 SYJ851969:SYS851972 SON851969:SOW851972 SER851969:SFA851972 RUV851969:RVE851972 RKZ851969:RLI851972 RBD851969:RBM851972 QRH851969:QRQ851972 QHL851969:QHU851972 PXP851969:PXY851972 PNT851969:POC851972 PDX851969:PEG851972 OUB851969:OUK851972 OKF851969:OKO851972 OAJ851969:OAS851972 NQN851969:NQW851972 NGR851969:NHA851972 MWV851969:MXE851972 MMZ851969:MNI851972 MDD851969:MDM851972 LTH851969:LTQ851972 LJL851969:LJU851972 KZP851969:KZY851972 KPT851969:KQC851972 KFX851969:KGG851972 JWB851969:JWK851972 JMF851969:JMO851972 JCJ851969:JCS851972 ISN851969:ISW851972 IIR851969:IJA851972 HYV851969:HZE851972 HOZ851969:HPI851972 HFD851969:HFM851972 GVH851969:GVQ851972 GLL851969:GLU851972 GBP851969:GBY851972 FRT851969:FSC851972 FHX851969:FIG851972 EYB851969:EYK851972 EOF851969:EOO851972 EEJ851969:EES851972 DUN851969:DUW851972 DKR851969:DLA851972 DAV851969:DBE851972 CQZ851969:CRI851972 CHD851969:CHM851972 BXH851969:BXQ851972 BNL851969:BNU851972 BDP851969:BDY851972 ATT851969:AUC851972 AJX851969:AKG851972 AAB851969:AAK851972 QF851969:QO851972 GJ851969:GS851972 WSV786433:WTE786436 WIZ786433:WJI786436 VZD786433:VZM786436 VPH786433:VPQ786436 VFL786433:VFU786436 UVP786433:UVY786436 ULT786433:UMC786436 UBX786433:UCG786436 TSB786433:TSK786436 TIF786433:TIO786436 SYJ786433:SYS786436 SON786433:SOW786436 SER786433:SFA786436 RUV786433:RVE786436 RKZ786433:RLI786436 RBD786433:RBM786436 QRH786433:QRQ786436 QHL786433:QHU786436 PXP786433:PXY786436 PNT786433:POC786436 PDX786433:PEG786436 OUB786433:OUK786436 OKF786433:OKO786436 OAJ786433:OAS786436 NQN786433:NQW786436 NGR786433:NHA786436 MWV786433:MXE786436 MMZ786433:MNI786436 MDD786433:MDM786436 LTH786433:LTQ786436 LJL786433:LJU786436 KZP786433:KZY786436 KPT786433:KQC786436 KFX786433:KGG786436 JWB786433:JWK786436 JMF786433:JMO786436 JCJ786433:JCS786436 ISN786433:ISW786436 IIR786433:IJA786436 HYV786433:HZE786436 HOZ786433:HPI786436 HFD786433:HFM786436 GVH786433:GVQ786436 GLL786433:GLU786436 GBP786433:GBY786436 FRT786433:FSC786436 FHX786433:FIG786436 EYB786433:EYK786436 EOF786433:EOO786436 EEJ786433:EES786436 DUN786433:DUW786436 DKR786433:DLA786436 DAV786433:DBE786436 CQZ786433:CRI786436 CHD786433:CHM786436 BXH786433:BXQ786436 BNL786433:BNU786436 BDP786433:BDY786436 ATT786433:AUC786436 AJX786433:AKG786436 AAB786433:AAK786436 QF786433:QO786436 GJ786433:GS786436 WSV720897:WTE720900 WIZ720897:WJI720900 VZD720897:VZM720900 VPH720897:VPQ720900 VFL720897:VFU720900 UVP720897:UVY720900 ULT720897:UMC720900 UBX720897:UCG720900 TSB720897:TSK720900 TIF720897:TIO720900 SYJ720897:SYS720900 SON720897:SOW720900 SER720897:SFA720900 RUV720897:RVE720900 RKZ720897:RLI720900 RBD720897:RBM720900 QRH720897:QRQ720900 QHL720897:QHU720900 PXP720897:PXY720900 PNT720897:POC720900 PDX720897:PEG720900 OUB720897:OUK720900 OKF720897:OKO720900 OAJ720897:OAS720900 NQN720897:NQW720900 NGR720897:NHA720900 MWV720897:MXE720900 MMZ720897:MNI720900 MDD720897:MDM720900 LTH720897:LTQ720900 LJL720897:LJU720900 KZP720897:KZY720900 KPT720897:KQC720900 KFX720897:KGG720900 JWB720897:JWK720900 JMF720897:JMO720900 JCJ720897:JCS720900 ISN720897:ISW720900 IIR720897:IJA720900 HYV720897:HZE720900 HOZ720897:HPI720900 HFD720897:HFM720900 GVH720897:GVQ720900 GLL720897:GLU720900 GBP720897:GBY720900 FRT720897:FSC720900 FHX720897:FIG720900 EYB720897:EYK720900 EOF720897:EOO720900 EEJ720897:EES720900 DUN720897:DUW720900 DKR720897:DLA720900 DAV720897:DBE720900 CQZ720897:CRI720900 CHD720897:CHM720900 BXH720897:BXQ720900 BNL720897:BNU720900 BDP720897:BDY720900 ATT720897:AUC720900 AJX720897:AKG720900 AAB720897:AAK720900 QF720897:QO720900 GJ720897:GS720900 WSV655361:WTE655364 WIZ655361:WJI655364 VZD655361:VZM655364 VPH655361:VPQ655364 VFL655361:VFU655364 UVP655361:UVY655364 ULT655361:UMC655364 UBX655361:UCG655364 TSB655361:TSK655364 TIF655361:TIO655364 SYJ655361:SYS655364 SON655361:SOW655364 SER655361:SFA655364 RUV655361:RVE655364 RKZ655361:RLI655364 RBD655361:RBM655364 QRH655361:QRQ655364 QHL655361:QHU655364 PXP655361:PXY655364 PNT655361:POC655364 PDX655361:PEG655364 OUB655361:OUK655364 OKF655361:OKO655364 OAJ655361:OAS655364 NQN655361:NQW655364 NGR655361:NHA655364 MWV655361:MXE655364 MMZ655361:MNI655364 MDD655361:MDM655364 LTH655361:LTQ655364 LJL655361:LJU655364 KZP655361:KZY655364 KPT655361:KQC655364 KFX655361:KGG655364 JWB655361:JWK655364 JMF655361:JMO655364 JCJ655361:JCS655364 ISN655361:ISW655364 IIR655361:IJA655364 HYV655361:HZE655364 HOZ655361:HPI655364 HFD655361:HFM655364 GVH655361:GVQ655364 GLL655361:GLU655364 GBP655361:GBY655364 FRT655361:FSC655364 FHX655361:FIG655364 EYB655361:EYK655364 EOF655361:EOO655364 EEJ655361:EES655364 DUN655361:DUW655364 DKR655361:DLA655364 DAV655361:DBE655364 CQZ655361:CRI655364 CHD655361:CHM655364 BXH655361:BXQ655364 BNL655361:BNU655364 BDP655361:BDY655364 ATT655361:AUC655364 AJX655361:AKG655364 AAB655361:AAK655364 QF655361:QO655364 GJ655361:GS655364 WSV589825:WTE589828 WIZ589825:WJI589828 VZD589825:VZM589828 VPH589825:VPQ589828 VFL589825:VFU589828 UVP589825:UVY589828 ULT589825:UMC589828 UBX589825:UCG589828 TSB589825:TSK589828 TIF589825:TIO589828 SYJ589825:SYS589828 SON589825:SOW589828 SER589825:SFA589828 RUV589825:RVE589828 RKZ589825:RLI589828 RBD589825:RBM589828 QRH589825:QRQ589828 QHL589825:QHU589828 PXP589825:PXY589828 PNT589825:POC589828 PDX589825:PEG589828 OUB589825:OUK589828 OKF589825:OKO589828 OAJ589825:OAS589828 NQN589825:NQW589828 NGR589825:NHA589828 MWV589825:MXE589828 MMZ589825:MNI589828 MDD589825:MDM589828 LTH589825:LTQ589828 LJL589825:LJU589828 KZP589825:KZY589828 KPT589825:KQC589828 KFX589825:KGG589828 JWB589825:JWK589828 JMF589825:JMO589828 JCJ589825:JCS589828 ISN589825:ISW589828 IIR589825:IJA589828 HYV589825:HZE589828 HOZ589825:HPI589828 HFD589825:HFM589828 GVH589825:GVQ589828 GLL589825:GLU589828 GBP589825:GBY589828 FRT589825:FSC589828 FHX589825:FIG589828 EYB589825:EYK589828 EOF589825:EOO589828 EEJ589825:EES589828 DUN589825:DUW589828 DKR589825:DLA589828 DAV589825:DBE589828 CQZ589825:CRI589828 CHD589825:CHM589828 BXH589825:BXQ589828 BNL589825:BNU589828 BDP589825:BDY589828 ATT589825:AUC589828 AJX589825:AKG589828 AAB589825:AAK589828 QF589825:QO589828 GJ589825:GS589828 WSV524289:WTE524292 WIZ524289:WJI524292 VZD524289:VZM524292 VPH524289:VPQ524292 VFL524289:VFU524292 UVP524289:UVY524292 ULT524289:UMC524292 UBX524289:UCG524292 TSB524289:TSK524292 TIF524289:TIO524292 SYJ524289:SYS524292 SON524289:SOW524292 SER524289:SFA524292 RUV524289:RVE524292 RKZ524289:RLI524292 RBD524289:RBM524292 QRH524289:QRQ524292 QHL524289:QHU524292 PXP524289:PXY524292 PNT524289:POC524292 PDX524289:PEG524292 OUB524289:OUK524292 OKF524289:OKO524292 OAJ524289:OAS524292 NQN524289:NQW524292 NGR524289:NHA524292 MWV524289:MXE524292 MMZ524289:MNI524292 MDD524289:MDM524292 LTH524289:LTQ524292 LJL524289:LJU524292 KZP524289:KZY524292 KPT524289:KQC524292 KFX524289:KGG524292 JWB524289:JWK524292 JMF524289:JMO524292 JCJ524289:JCS524292 ISN524289:ISW524292 IIR524289:IJA524292 HYV524289:HZE524292 HOZ524289:HPI524292 HFD524289:HFM524292 GVH524289:GVQ524292 GLL524289:GLU524292 GBP524289:GBY524292 FRT524289:FSC524292 FHX524289:FIG524292 EYB524289:EYK524292 EOF524289:EOO524292 EEJ524289:EES524292 DUN524289:DUW524292 DKR524289:DLA524292 DAV524289:DBE524292 CQZ524289:CRI524292 CHD524289:CHM524292 BXH524289:BXQ524292 BNL524289:BNU524292 BDP524289:BDY524292 ATT524289:AUC524292 AJX524289:AKG524292 AAB524289:AAK524292 QF524289:QO524292 GJ524289:GS524292 WSV458753:WTE458756 WIZ458753:WJI458756 VZD458753:VZM458756 VPH458753:VPQ458756 VFL458753:VFU458756 UVP458753:UVY458756 ULT458753:UMC458756 UBX458753:UCG458756 TSB458753:TSK458756 TIF458753:TIO458756 SYJ458753:SYS458756 SON458753:SOW458756 SER458753:SFA458756 RUV458753:RVE458756 RKZ458753:RLI458756 RBD458753:RBM458756 QRH458753:QRQ458756 QHL458753:QHU458756 PXP458753:PXY458756 PNT458753:POC458756 PDX458753:PEG458756 OUB458753:OUK458756 OKF458753:OKO458756 OAJ458753:OAS458756 NQN458753:NQW458756 NGR458753:NHA458756 MWV458753:MXE458756 MMZ458753:MNI458756 MDD458753:MDM458756 LTH458753:LTQ458756 LJL458753:LJU458756 KZP458753:KZY458756 KPT458753:KQC458756 KFX458753:KGG458756 JWB458753:JWK458756 JMF458753:JMO458756 JCJ458753:JCS458756 ISN458753:ISW458756 IIR458753:IJA458756 HYV458753:HZE458756 HOZ458753:HPI458756 HFD458753:HFM458756 GVH458753:GVQ458756 GLL458753:GLU458756 GBP458753:GBY458756 FRT458753:FSC458756 FHX458753:FIG458756 EYB458753:EYK458756 EOF458753:EOO458756 EEJ458753:EES458756 DUN458753:DUW458756 DKR458753:DLA458756 DAV458753:DBE458756 CQZ458753:CRI458756 CHD458753:CHM458756 BXH458753:BXQ458756 BNL458753:BNU458756 BDP458753:BDY458756 ATT458753:AUC458756 AJX458753:AKG458756 AAB458753:AAK458756 QF458753:QO458756 GJ458753:GS458756 WSV393217:WTE393220 WIZ393217:WJI393220 VZD393217:VZM393220 VPH393217:VPQ393220 VFL393217:VFU393220 UVP393217:UVY393220 ULT393217:UMC393220 UBX393217:UCG393220 TSB393217:TSK393220 TIF393217:TIO393220 SYJ393217:SYS393220 SON393217:SOW393220 SER393217:SFA393220 RUV393217:RVE393220 RKZ393217:RLI393220 RBD393217:RBM393220 QRH393217:QRQ393220 QHL393217:QHU393220 PXP393217:PXY393220 PNT393217:POC393220 PDX393217:PEG393220 OUB393217:OUK393220 OKF393217:OKO393220 OAJ393217:OAS393220 NQN393217:NQW393220 NGR393217:NHA393220 MWV393217:MXE393220 MMZ393217:MNI393220 MDD393217:MDM393220 LTH393217:LTQ393220 LJL393217:LJU393220 KZP393217:KZY393220 KPT393217:KQC393220 KFX393217:KGG393220 JWB393217:JWK393220 JMF393217:JMO393220 JCJ393217:JCS393220 ISN393217:ISW393220 IIR393217:IJA393220 HYV393217:HZE393220 HOZ393217:HPI393220 HFD393217:HFM393220 GVH393217:GVQ393220 GLL393217:GLU393220 GBP393217:GBY393220 FRT393217:FSC393220 FHX393217:FIG393220 EYB393217:EYK393220 EOF393217:EOO393220 EEJ393217:EES393220 DUN393217:DUW393220 DKR393217:DLA393220 DAV393217:DBE393220 CQZ393217:CRI393220 CHD393217:CHM393220 BXH393217:BXQ393220 BNL393217:BNU393220 BDP393217:BDY393220 ATT393217:AUC393220 AJX393217:AKG393220 AAB393217:AAK393220 QF393217:QO393220 GJ393217:GS393220 WSV327681:WTE327684 WIZ327681:WJI327684 VZD327681:VZM327684 VPH327681:VPQ327684 VFL327681:VFU327684 UVP327681:UVY327684 ULT327681:UMC327684 UBX327681:UCG327684 TSB327681:TSK327684 TIF327681:TIO327684 SYJ327681:SYS327684 SON327681:SOW327684 SER327681:SFA327684 RUV327681:RVE327684 RKZ327681:RLI327684 RBD327681:RBM327684 QRH327681:QRQ327684 QHL327681:QHU327684 PXP327681:PXY327684 PNT327681:POC327684 PDX327681:PEG327684 OUB327681:OUK327684 OKF327681:OKO327684 OAJ327681:OAS327684 NQN327681:NQW327684 NGR327681:NHA327684 MWV327681:MXE327684 MMZ327681:MNI327684 MDD327681:MDM327684 LTH327681:LTQ327684 LJL327681:LJU327684 KZP327681:KZY327684 KPT327681:KQC327684 KFX327681:KGG327684 JWB327681:JWK327684 JMF327681:JMO327684 JCJ327681:JCS327684 ISN327681:ISW327684 IIR327681:IJA327684 HYV327681:HZE327684 HOZ327681:HPI327684 HFD327681:HFM327684 GVH327681:GVQ327684 GLL327681:GLU327684 GBP327681:GBY327684 FRT327681:FSC327684 FHX327681:FIG327684 EYB327681:EYK327684 EOF327681:EOO327684 EEJ327681:EES327684 DUN327681:DUW327684 DKR327681:DLA327684 DAV327681:DBE327684 CQZ327681:CRI327684 CHD327681:CHM327684 BXH327681:BXQ327684 BNL327681:BNU327684 BDP327681:BDY327684 ATT327681:AUC327684 AJX327681:AKG327684 AAB327681:AAK327684 QF327681:QO327684 GJ327681:GS327684 WSV262145:WTE262148 WIZ262145:WJI262148 VZD262145:VZM262148 VPH262145:VPQ262148 VFL262145:VFU262148 UVP262145:UVY262148 ULT262145:UMC262148 UBX262145:UCG262148 TSB262145:TSK262148 TIF262145:TIO262148 SYJ262145:SYS262148 SON262145:SOW262148 SER262145:SFA262148 RUV262145:RVE262148 RKZ262145:RLI262148 RBD262145:RBM262148 QRH262145:QRQ262148 QHL262145:QHU262148 PXP262145:PXY262148 PNT262145:POC262148 PDX262145:PEG262148 OUB262145:OUK262148 OKF262145:OKO262148 OAJ262145:OAS262148 NQN262145:NQW262148 NGR262145:NHA262148 MWV262145:MXE262148 MMZ262145:MNI262148 MDD262145:MDM262148 LTH262145:LTQ262148 LJL262145:LJU262148 KZP262145:KZY262148 KPT262145:KQC262148 KFX262145:KGG262148 JWB262145:JWK262148 JMF262145:JMO262148 JCJ262145:JCS262148 ISN262145:ISW262148 IIR262145:IJA262148 HYV262145:HZE262148 HOZ262145:HPI262148 HFD262145:HFM262148 GVH262145:GVQ262148 GLL262145:GLU262148 GBP262145:GBY262148 FRT262145:FSC262148 FHX262145:FIG262148 EYB262145:EYK262148 EOF262145:EOO262148 EEJ262145:EES262148 DUN262145:DUW262148 DKR262145:DLA262148 DAV262145:DBE262148 CQZ262145:CRI262148 CHD262145:CHM262148 BXH262145:BXQ262148 BNL262145:BNU262148 BDP262145:BDY262148 ATT262145:AUC262148 AJX262145:AKG262148 AAB262145:AAK262148 QF262145:QO262148 GJ262145:GS262148 WSV196609:WTE196612 WIZ196609:WJI196612 VZD196609:VZM196612 VPH196609:VPQ196612 VFL196609:VFU196612 UVP196609:UVY196612 ULT196609:UMC196612 UBX196609:UCG196612 TSB196609:TSK196612 TIF196609:TIO196612 SYJ196609:SYS196612 SON196609:SOW196612 SER196609:SFA196612 RUV196609:RVE196612 RKZ196609:RLI196612 RBD196609:RBM196612 QRH196609:QRQ196612 QHL196609:QHU196612 PXP196609:PXY196612 PNT196609:POC196612 PDX196609:PEG196612 OUB196609:OUK196612 OKF196609:OKO196612 OAJ196609:OAS196612 NQN196609:NQW196612 NGR196609:NHA196612 MWV196609:MXE196612 MMZ196609:MNI196612 MDD196609:MDM196612 LTH196609:LTQ196612 LJL196609:LJU196612 KZP196609:KZY196612 KPT196609:KQC196612 KFX196609:KGG196612 JWB196609:JWK196612 JMF196609:JMO196612 JCJ196609:JCS196612 ISN196609:ISW196612 IIR196609:IJA196612 HYV196609:HZE196612 HOZ196609:HPI196612 HFD196609:HFM196612 GVH196609:GVQ196612 GLL196609:GLU196612 GBP196609:GBY196612 FRT196609:FSC196612 FHX196609:FIG196612 EYB196609:EYK196612 EOF196609:EOO196612 EEJ196609:EES196612 DUN196609:DUW196612 DKR196609:DLA196612 DAV196609:DBE196612 CQZ196609:CRI196612 CHD196609:CHM196612 BXH196609:BXQ196612 BNL196609:BNU196612 BDP196609:BDY196612 ATT196609:AUC196612 AJX196609:AKG196612 AAB196609:AAK196612 QF196609:QO196612 GJ196609:GS196612 WSV131073:WTE131076 WIZ131073:WJI131076 VZD131073:VZM131076 VPH131073:VPQ131076 VFL131073:VFU131076 UVP131073:UVY131076 ULT131073:UMC131076 UBX131073:UCG131076 TSB131073:TSK131076 TIF131073:TIO131076 SYJ131073:SYS131076 SON131073:SOW131076 SER131073:SFA131076 RUV131073:RVE131076 RKZ131073:RLI131076 RBD131073:RBM131076 QRH131073:QRQ131076 QHL131073:QHU131076 PXP131073:PXY131076 PNT131073:POC131076 PDX131073:PEG131076 OUB131073:OUK131076 OKF131073:OKO131076 OAJ131073:OAS131076 NQN131073:NQW131076 NGR131073:NHA131076 MWV131073:MXE131076 MMZ131073:MNI131076 MDD131073:MDM131076 LTH131073:LTQ131076 LJL131073:LJU131076 KZP131073:KZY131076 KPT131073:KQC131076 KFX131073:KGG131076 JWB131073:JWK131076 JMF131073:JMO131076 JCJ131073:JCS131076 ISN131073:ISW131076 IIR131073:IJA131076 HYV131073:HZE131076 HOZ131073:HPI131076 HFD131073:HFM131076 GVH131073:GVQ131076 GLL131073:GLU131076 GBP131073:GBY131076 FRT131073:FSC131076 FHX131073:FIG131076 EYB131073:EYK131076 EOF131073:EOO131076 EEJ131073:EES131076 DUN131073:DUW131076 DKR131073:DLA131076 DAV131073:DBE131076 CQZ131073:CRI131076 CHD131073:CHM131076 BXH131073:BXQ131076 BNL131073:BNU131076 BDP131073:BDY131076 ATT131073:AUC131076 AJX131073:AKG131076 AAB131073:AAK131076 QF131073:QO131076 GJ131073:GS131076 WSV65537:WTE65540 WIZ65537:WJI65540 VZD65537:VZM65540 VPH65537:VPQ65540 VFL65537:VFU65540 UVP65537:UVY65540 ULT65537:UMC65540 UBX65537:UCG65540 TSB65537:TSK65540 TIF65537:TIO65540 SYJ65537:SYS65540 SON65537:SOW65540 SER65537:SFA65540 RUV65537:RVE65540 RKZ65537:RLI65540 RBD65537:RBM65540 QRH65537:QRQ65540 QHL65537:QHU65540 PXP65537:PXY65540 PNT65537:POC65540 PDX65537:PEG65540 OUB65537:OUK65540 OKF65537:OKO65540 OAJ65537:OAS65540 NQN65537:NQW65540 NGR65537:NHA65540 MWV65537:MXE65540 MMZ65537:MNI65540 MDD65537:MDM65540 LTH65537:LTQ65540 LJL65537:LJU65540 KZP65537:KZY65540 KPT65537:KQC65540 KFX65537:KGG65540 JWB65537:JWK65540 JMF65537:JMO65540 JCJ65537:JCS65540 ISN65537:ISW65540 IIR65537:IJA65540 HYV65537:HZE65540 HOZ65537:HPI65540 HFD65537:HFM65540 GVH65537:GVQ65540 GLL65537:GLU65540 GBP65537:GBY65540 FRT65537:FSC65540 FHX65537:FIG65540 EYB65537:EYK65540 EOF65537:EOO65540 EEJ65537:EES65540 DUN65537:DUW65540 DKR65537:DLA65540 DAV65537:DBE65540 CQZ65537:CRI65540 CHD65537:CHM65540 BXH65537:BXQ65540 BNL65537:BNU65540 BDP65537:BDY65540 ATT65537:AUC65540 AJX65537:AKG65540 AAB65537:AAK65540 QF65537:QO65540 GJ65537:GS65540 O983041:W983044 O917505:W917508 O851969:W851972 O786433:W786436 O720897:W720900 O655361:W655364 O589825:W589828 O524289:W524292 O458753:W458756 O393217:W393220 O327681:W327684 O262145:W262148 O196609:W196612 O131073:W131076 O65537:W65540">
      <formula1>-100000000</formula1>
      <formula2>100000000</formula2>
    </dataValidation>
    <dataValidation type="list" allowBlank="1" showInputMessage="1" showErrorMessage="1" sqref="H3:H27 G28:H39 G12:G27 G4:G8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6"/>
  <sheetViews>
    <sheetView zoomScaleNormal="100" workbookViewId="0">
      <selection activeCell="H29" sqref="H29"/>
    </sheetView>
  </sheetViews>
  <sheetFormatPr defaultRowHeight="15" x14ac:dyDescent="0.25"/>
  <cols>
    <col min="1" max="8" width="10" customWidth="1"/>
  </cols>
  <sheetData>
    <row r="1" spans="1:19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 x14ac:dyDescent="0.25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 x14ac:dyDescent="0.25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 x14ac:dyDescent="0.25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 x14ac:dyDescent="0.25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 x14ac:dyDescent="0.25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 x14ac:dyDescent="0.25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 x14ac:dyDescent="0.25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 x14ac:dyDescent="0.25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 x14ac:dyDescent="0.25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 x14ac:dyDescent="0.25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 x14ac:dyDescent="0.25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heet="1" objects="1" scenarios="1"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Joao Girao</cp:lastModifiedBy>
  <dcterms:created xsi:type="dcterms:W3CDTF">2009-04-24T00:02:24Z</dcterms:created>
  <dcterms:modified xsi:type="dcterms:W3CDTF">2013-04-14T14:55:44Z</dcterms:modified>
</cp:coreProperties>
</file>