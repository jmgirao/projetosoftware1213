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M39" i="2"/>
  <c r="L39" i="2" a="1"/>
  <c r="L39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<sst xmlns="http://schemas.openxmlformats.org/spreadsheetml/2006/main" count="241" uniqueCount="135">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</sst>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85.75</c:v>
                </c:pt>
                <c:pt idx="5">
                  <c:v>145.75</c:v>
                </c:pt>
                <c:pt idx="6">
                  <c:v>193.75</c:v>
                </c:pt>
                <c:pt idx="7">
                  <c:v>230.75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958264"/>
        <c:axId val="198721336"/>
      </c:lineChart>
      <c:catAx>
        <c:axId val="247958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721336"/>
        <c:crosses val="autoZero"/>
        <c:auto val="0"/>
        <c:lblAlgn val="ctr"/>
        <c:lblOffset val="100"/>
        <c:noMultiLvlLbl val="0"/>
      </c:catAx>
      <c:valAx>
        <c:axId val="1987213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7958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Q6" sqref="Q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3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3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/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0.25</v>
      </c>
      <c r="O39" s="51"/>
      <c r="P39" s="51">
        <v>0.25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3.25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8.7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85.75</v>
      </c>
      <c r="S54" s="34">
        <f t="array" ref="S54">IF(S52="","",R54+IF(ISNA(VLOOKUP(T2,$H$2:$H$39,2,FALSE)),0,SUM(IF($H$2:$K$39=T2,$K$2:$K$39))))</f>
        <v>145.75</v>
      </c>
      <c r="T54" s="34">
        <f t="array" ref="T54">IF(T52="","",S54+IF(ISNA(VLOOKUP(U2,$H$2:$H$39,2,FALSE)),0,SUM(IF($H$2:$K$39=U2,$K$2:$K$39))))</f>
        <v>193.75</v>
      </c>
      <c r="U54" s="34">
        <f t="array" ref="U54">IF(U52="","",T54+IF(ISNA(VLOOKUP(V2,$H$2:$H$39,2,FALSE)),0,SUM(IF($H$2:$K$39=V2,$K$2:$K$39))))</f>
        <v>230.75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31</v>
      </c>
      <c r="P55" s="6">
        <f>SUMIFS($K$3:$K$39,Q3:Q39,"=X")</f>
        <v>36</v>
      </c>
      <c r="Q55" s="6">
        <f>SUMIFS($K$3:$K$39,R3:R39,"=X")</f>
        <v>36</v>
      </c>
      <c r="R55" s="6">
        <f>SUMIFS($K$3:$K$39,S3:S39,"=X")</f>
        <v>36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36</v>
      </c>
      <c r="Q56" s="6">
        <f>SUM(Q3:Q39)+P56</f>
        <v>36</v>
      </c>
      <c r="R56" s="6">
        <f>SUM(R3:R39)+Q56</f>
        <v>36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8.7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36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140.75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176.75</v>
      </c>
      <c r="O68" s="48">
        <f t="shared" ref="O68:R68" si="37">SUM(O60:O67)</f>
        <v>0</v>
      </c>
      <c r="P68" s="48">
        <f t="shared" si="37"/>
        <v>0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2013-04-20T20:20:07Z</dcterms:modified>
</cp:coreProperties>
</file>