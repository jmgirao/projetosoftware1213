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38" i="2" l="1"/>
  <c r="U39" i="2" l="1"/>
  <c r="U47" i="2" l="1"/>
  <c r="U21" i="2" l="1"/>
  <c r="U7" i="2" l="1"/>
  <c r="U33" i="2"/>
  <c r="U50" i="2"/>
  <c r="U26" i="2"/>
  <c r="U16" i="2"/>
  <c r="V15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O65" i="2"/>
  <c r="P60" i="2"/>
  <c r="P66" i="2"/>
  <c r="V54" i="2"/>
  <c r="W54" i="2" s="1"/>
  <c r="U12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W39" i="2" l="1"/>
  <c r="N54" i="2"/>
  <c r="N36" i="2"/>
  <c r="N38" i="2"/>
  <c r="N37" i="2"/>
  <c r="M54" i="2"/>
  <c r="N35" i="2"/>
  <c r="L54" i="2" a="1"/>
  <c r="L54" i="2" s="1"/>
  <c r="V12" i="2"/>
  <c r="L38" i="2" a="1"/>
  <c r="L38" i="2" s="1"/>
  <c r="U56" i="2"/>
  <c r="S41" i="2"/>
  <c r="T41" i="2" s="1"/>
  <c r="U41" i="2" s="1"/>
  <c r="V41" i="2" s="1"/>
  <c r="U14" i="2"/>
  <c r="U3" i="2"/>
  <c r="N39" i="2" l="1"/>
  <c r="N41" i="2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U66" i="2" s="1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5" i="2" l="1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50" i="2" l="1"/>
  <c r="M24" i="2"/>
  <c r="M22" i="2"/>
  <c r="M21" i="2"/>
  <c r="M23" i="2"/>
  <c r="M47" i="2"/>
  <c r="M44" i="2"/>
  <c r="M38" i="2"/>
  <c r="M39" i="2"/>
  <c r="M18" i="2"/>
  <c r="M7" i="2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U65" i="2" s="1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<sst xmlns="http://schemas.openxmlformats.org/spreadsheetml/2006/main" count="303" uniqueCount="132">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</sst>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218.75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176.25</c:v>
                </c:pt>
                <c:pt idx="7">
                  <c:v>253.75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  <c:pt idx="7">
                  <c:v>224.4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353040"/>
        <c:axId val="230353432"/>
      </c:lineChart>
      <c:catAx>
        <c:axId val="230353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0353432"/>
        <c:crosses val="autoZero"/>
        <c:auto val="0"/>
        <c:lblAlgn val="ctr"/>
        <c:lblOffset val="100"/>
        <c:noMultiLvlLbl val="0"/>
      </c:catAx>
      <c:valAx>
        <c:axId val="230353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353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J30" activePane="bottomRight" state="frozen"/>
      <selection pane="topRight" activeCell="F1" sqref="F1"/>
      <selection pane="bottomLeft" activeCell="A3" sqref="A3"/>
      <selection pane="bottomRight" activeCell="U38" sqref="U38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 t="s">
        <v>113</v>
      </c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41421</v>
      </c>
      <c r="N18" s="56">
        <f t="shared" si="3"/>
        <v>1.5</v>
      </c>
      <c r="O18" s="51"/>
      <c r="P18" s="51"/>
      <c r="Q18" s="51"/>
      <c r="R18" s="51"/>
      <c r="S18" s="51">
        <v>0.75</v>
      </c>
      <c r="T18" s="51">
        <v>0.25</v>
      </c>
      <c r="U18" s="51">
        <v>0.5</v>
      </c>
      <c r="V18" s="51" t="s">
        <v>112</v>
      </c>
      <c r="W18" s="51" t="s">
        <v>113</v>
      </c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>
        <f t="shared" si="1"/>
        <v>41421</v>
      </c>
      <c r="N21" s="56">
        <f t="shared" si="3"/>
        <v>3.5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0.5+1+0.25</f>
        <v>1.75</v>
      </c>
      <c r="V21" s="51" t="s">
        <v>112</v>
      </c>
      <c r="W21" s="51" t="s">
        <v>113</v>
      </c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>
        <f t="shared" si="1"/>
        <v>41421</v>
      </c>
      <c r="N22" s="56">
        <f t="shared" si="3"/>
        <v>11.75</v>
      </c>
      <c r="O22" s="51"/>
      <c r="P22" s="51"/>
      <c r="Q22" s="51"/>
      <c r="R22" s="51"/>
      <c r="S22" s="51">
        <v>2</v>
      </c>
      <c r="T22" s="51">
        <v>4</v>
      </c>
      <c r="U22" s="51">
        <v>5.75</v>
      </c>
      <c r="V22" s="51" t="s">
        <v>112</v>
      </c>
      <c r="W22" s="51" t="s">
        <v>113</v>
      </c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>
        <f t="shared" si="1"/>
        <v>41421</v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 t="s">
        <v>112</v>
      </c>
      <c r="W23" s="51" t="s">
        <v>113</v>
      </c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>
        <f t="shared" si="1"/>
        <v>41421</v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 t="s">
        <v>113</v>
      </c>
      <c r="W24" s="51" t="s">
        <v>113</v>
      </c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 t="s">
        <v>113</v>
      </c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 t="s">
        <v>113</v>
      </c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41421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>
        <f t="shared" si="13"/>
        <v>41421</v>
      </c>
      <c r="N38" s="56">
        <f t="shared" si="18"/>
        <v>4.75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1.25+0.5+1+0.5+1.5</f>
        <v>4.75</v>
      </c>
      <c r="V38" s="51" t="s">
        <v>113</v>
      </c>
      <c r="W38" s="51" t="str">
        <f t="shared" si="16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>
        <f t="shared" si="13"/>
        <v>41421</v>
      </c>
      <c r="N39" s="56">
        <f t="shared" si="14"/>
        <v>3.25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0.75+1+0.5+0.5+0.5</f>
        <v>3.25</v>
      </c>
      <c r="V39" s="51" t="s">
        <v>112</v>
      </c>
      <c r="W39" s="51" t="str">
        <f t="shared" si="16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 t="s">
        <v>112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 t="s">
        <v>113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 t="s">
        <v>112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>
        <f t="shared" si="13"/>
        <v>41421</v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">
        <v>112</v>
      </c>
      <c r="W44" s="51" t="str">
        <f t="shared" si="27"/>
        <v>X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41421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>
        <f t="shared" si="13"/>
        <v>41421</v>
      </c>
      <c r="N47" s="56">
        <f t="shared" si="14"/>
        <v>2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0.25+0.25+0.5+0.5+0.5</f>
        <v>2</v>
      </c>
      <c r="V47" s="51" t="s">
        <v>112</v>
      </c>
      <c r="W47" s="51" t="str">
        <f t="shared" si="27"/>
        <v>X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>
        <v>1</v>
      </c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>
        <v>1</v>
      </c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41421</v>
      </c>
      <c r="I50" s="43">
        <v>47</v>
      </c>
      <c r="J50" s="43">
        <v>1</v>
      </c>
      <c r="K50" s="3">
        <v>1</v>
      </c>
      <c r="L50" s="55">
        <f t="array" ref="L50">IF(ISNA(INDEX($O$2:$DA$2,1,MATCH(1,IF($O50:$DM50,1),0))),"",INDEX($O$2:$DA$2,1,MATCH(1,IF($O50:$DM50,1),0)))</f>
        <v>41421</v>
      </c>
      <c r="M50" s="55">
        <f t="shared" si="29"/>
        <v>41421</v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">
        <v>112</v>
      </c>
      <c r="W50" s="51" t="str">
        <f t="shared" si="27"/>
        <v>X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33.15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8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218.75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 t="shared" ref="O65:T65" si="58">SUMIFS($K$3:$K$51,P3:P51,"=X")</f>
        <v>18</v>
      </c>
      <c r="P65" s="6">
        <f t="shared" si="58"/>
        <v>41.25</v>
      </c>
      <c r="Q65" s="6">
        <f t="shared" si="58"/>
        <v>66.25</v>
      </c>
      <c r="R65" s="6">
        <f t="shared" si="58"/>
        <v>138.25</v>
      </c>
      <c r="S65" s="6">
        <f t="shared" si="58"/>
        <v>150.75</v>
      </c>
      <c r="T65" s="6">
        <f t="shared" si="58"/>
        <v>176.25</v>
      </c>
      <c r="U65" s="6">
        <f>SUMIFS($K$2:$K$51,V2:V51,"=X")</f>
        <v>253.75</v>
      </c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>
        <f>SUM(U3:U51)+T66</f>
        <v>224.4</v>
      </c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8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224.4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843.6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1068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N22" sqref="N22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2013-06-03T11:45:44Z</dcterms:modified>
</cp:coreProperties>
</file>