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ong\Documents\projetosoftware1213\Docs\Project Management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U7" i="2" l="1"/>
  <c r="U33" i="2"/>
  <c r="U39" i="2"/>
  <c r="U50" i="2"/>
  <c r="U26" i="2"/>
  <c r="U21" i="2"/>
  <c r="U16" i="2"/>
  <c r="V15" i="2"/>
  <c r="U38" i="2"/>
  <c r="U47" i="2"/>
  <c r="U29" i="2" l="1"/>
  <c r="U28" i="2"/>
  <c r="T31" i="2" l="1"/>
  <c r="T49" i="2"/>
  <c r="T46" i="2"/>
  <c r="S35" i="2" l="1"/>
  <c r="T35" i="2"/>
  <c r="T24" i="2"/>
  <c r="T37" i="2" l="1"/>
  <c r="T32" i="2"/>
  <c r="T29" i="2"/>
  <c r="T28" i="2"/>
  <c r="T7" i="2" l="1"/>
  <c r="T21" i="2"/>
  <c r="S45" i="2" l="1"/>
  <c r="S21" i="2" l="1"/>
  <c r="S48" i="2" l="1"/>
  <c r="S7" i="2" l="1"/>
  <c r="J63" i="2" l="1"/>
  <c r="K63" i="2"/>
  <c r="R43" i="2"/>
  <c r="R10" i="2" l="1"/>
  <c r="R14" i="2" l="1"/>
  <c r="R12" i="2"/>
  <c r="R7" i="2" l="1"/>
  <c r="R11" i="2" l="1"/>
  <c r="P48" i="2"/>
  <c r="Q48" i="2" s="1"/>
  <c r="R48" i="2" s="1"/>
  <c r="P49" i="2"/>
  <c r="P50" i="2"/>
  <c r="N33" i="2"/>
  <c r="N34" i="2"/>
  <c r="P53" i="2"/>
  <c r="Q53" i="2" s="1"/>
  <c r="R53" i="2" s="1"/>
  <c r="S53" i="2" s="1"/>
  <c r="T53" i="2" s="1"/>
  <c r="U53" i="2" s="1"/>
  <c r="V53" i="2" s="1"/>
  <c r="W53" i="2" s="1"/>
  <c r="P54" i="2"/>
  <c r="P55" i="2"/>
  <c r="P52" i="2"/>
  <c r="P51" i="2"/>
  <c r="Q42" i="2"/>
  <c r="P41" i="2"/>
  <c r="O40" i="2"/>
  <c r="R8" i="2"/>
  <c r="Q55" i="2" l="1"/>
  <c r="R55" i="2" s="1"/>
  <c r="S55" i="2" s="1"/>
  <c r="T55" i="2" s="1"/>
  <c r="U55" i="2" s="1"/>
  <c r="V55" i="2" s="1"/>
  <c r="W55" i="2" s="1"/>
  <c r="O60" i="2"/>
  <c r="O66" i="2"/>
  <c r="Q52" i="2"/>
  <c r="R52" i="2" s="1"/>
  <c r="S52" i="2" s="1"/>
  <c r="T52" i="2" s="1"/>
  <c r="U52" i="2" s="1"/>
  <c r="V52" i="2" s="1"/>
  <c r="W52" i="2" s="1"/>
  <c r="Q54" i="2"/>
  <c r="Q50" i="2"/>
  <c r="R50" i="2" s="1"/>
  <c r="S50" i="2" s="1"/>
  <c r="T50" i="2" s="1"/>
  <c r="V50" i="2" s="1"/>
  <c r="W50" i="2" s="1"/>
  <c r="Q49" i="2"/>
  <c r="R49" i="2" s="1"/>
  <c r="V49" i="2" s="1"/>
  <c r="W49" i="2" s="1"/>
  <c r="N53" i="2"/>
  <c r="U48" i="2"/>
  <c r="V48" i="2" s="1"/>
  <c r="W48" i="2" s="1"/>
  <c r="L53" i="2" a="1"/>
  <c r="L53" i="2" s="1"/>
  <c r="M53" i="2"/>
  <c r="Q51" i="2"/>
  <c r="R51" i="2" s="1"/>
  <c r="S51" i="2" s="1"/>
  <c r="T51" i="2" s="1"/>
  <c r="U51" i="2" s="1"/>
  <c r="V51" i="2" s="1"/>
  <c r="W51" i="2" s="1"/>
  <c r="Q8" i="2"/>
  <c r="N49" i="2" l="1"/>
  <c r="N50" i="2"/>
  <c r="N52" i="2"/>
  <c r="N51" i="2"/>
  <c r="L55" i="2" a="1"/>
  <c r="L55" i="2" s="1"/>
  <c r="R54" i="2"/>
  <c r="M55" i="2"/>
  <c r="N55" i="2"/>
  <c r="N48" i="2"/>
  <c r="M52" i="2"/>
  <c r="L51" i="2" a="1"/>
  <c r="L51" i="2" s="1"/>
  <c r="L52" i="2" a="1"/>
  <c r="L52" i="2" s="1"/>
  <c r="M51" i="2"/>
  <c r="M50" i="2"/>
  <c r="P42" i="2"/>
  <c r="P43" i="2"/>
  <c r="P44" i="2"/>
  <c r="P45" i="2"/>
  <c r="Q45" i="2" s="1"/>
  <c r="P46" i="2"/>
  <c r="P47" i="2"/>
  <c r="P56" i="2"/>
  <c r="P57" i="2"/>
  <c r="P58" i="2"/>
  <c r="P59" i="2"/>
  <c r="Q58" i="2" l="1"/>
  <c r="R58" i="2" s="1"/>
  <c r="S58" i="2" s="1"/>
  <c r="T58" i="2" s="1"/>
  <c r="U58" i="2" s="1"/>
  <c r="V58" i="2" s="1"/>
  <c r="W58" i="2" s="1"/>
  <c r="S42" i="2"/>
  <c r="T42" i="2" s="1"/>
  <c r="U42" i="2" s="1"/>
  <c r="V42" i="2" s="1"/>
  <c r="Q47" i="2"/>
  <c r="R47" i="2" s="1"/>
  <c r="T47" i="2" s="1"/>
  <c r="V47" i="2" s="1"/>
  <c r="W47" i="2" s="1"/>
  <c r="Q46" i="2"/>
  <c r="R46" i="2" s="1"/>
  <c r="S46" i="2" s="1"/>
  <c r="V46" i="2" s="1"/>
  <c r="W46" i="2" s="1"/>
  <c r="S54" i="2"/>
  <c r="Q43" i="2"/>
  <c r="T43" i="2" s="1"/>
  <c r="U43" i="2" s="1"/>
  <c r="Q57" i="2"/>
  <c r="R57" i="2" s="1"/>
  <c r="Q59" i="2"/>
  <c r="R59" i="2" s="1"/>
  <c r="S59" i="2" s="1"/>
  <c r="T59" i="2" s="1"/>
  <c r="U59" i="2" s="1"/>
  <c r="V59" i="2" s="1"/>
  <c r="W59" i="2" s="1"/>
  <c r="R45" i="2"/>
  <c r="Q56" i="2"/>
  <c r="Q44" i="2"/>
  <c r="O71" i="2"/>
  <c r="M21" i="2"/>
  <c r="M22" i="2"/>
  <c r="M23" i="2"/>
  <c r="M24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M47" i="2" l="1"/>
  <c r="N47" i="2"/>
  <c r="N46" i="2"/>
  <c r="N42" i="2"/>
  <c r="N59" i="2"/>
  <c r="S57" i="2"/>
  <c r="T57" i="2" s="1"/>
  <c r="U57" i="2" s="1"/>
  <c r="V57" i="2" s="1"/>
  <c r="W57" i="2" s="1"/>
  <c r="L58" i="2" a="1"/>
  <c r="L58" i="2" s="1"/>
  <c r="M58" i="2"/>
  <c r="T54" i="2"/>
  <c r="N58" i="2"/>
  <c r="U45" i="2"/>
  <c r="V45" i="2" s="1"/>
  <c r="W45" i="2" s="1"/>
  <c r="N45" i="2" s="1"/>
  <c r="V43" i="2"/>
  <c r="M59" i="2"/>
  <c r="L59" i="2" a="1"/>
  <c r="L59" i="2" s="1"/>
  <c r="R44" i="2"/>
  <c r="R56" i="2"/>
  <c r="N7" i="2"/>
  <c r="Q3" i="2"/>
  <c r="N4" i="2"/>
  <c r="N5" i="2"/>
  <c r="N6" i="2"/>
  <c r="N8" i="2"/>
  <c r="N9" i="2"/>
  <c r="N10" i="2"/>
  <c r="N11" i="2"/>
  <c r="L9" i="2" a="1"/>
  <c r="L9" i="2" s="1"/>
  <c r="M57" i="2" l="1"/>
  <c r="L57" i="2" a="1"/>
  <c r="L57" i="2" s="1"/>
  <c r="U54" i="2"/>
  <c r="N57" i="2"/>
  <c r="W43" i="2"/>
  <c r="N43" i="2" s="1"/>
  <c r="S44" i="2"/>
  <c r="T44" i="2" s="1"/>
  <c r="U44" i="2" s="1"/>
  <c r="V44" i="2" s="1"/>
  <c r="W44" i="2" s="1"/>
  <c r="N44" i="2" s="1"/>
  <c r="S56" i="2"/>
  <c r="R3" i="2"/>
  <c r="W62" i="2"/>
  <c r="U13" i="2"/>
  <c r="V13" i="2" s="1"/>
  <c r="W15" i="2"/>
  <c r="W16" i="2"/>
  <c r="O2" i="2"/>
  <c r="P15" i="2"/>
  <c r="P16" i="2"/>
  <c r="P31" i="2"/>
  <c r="P32" i="2"/>
  <c r="P35" i="2"/>
  <c r="P36" i="2"/>
  <c r="P37" i="2"/>
  <c r="P38" i="2"/>
  <c r="P39" i="2"/>
  <c r="O77" i="2"/>
  <c r="P77" i="2"/>
  <c r="Q77" i="2"/>
  <c r="R77" i="2"/>
  <c r="S77" i="2"/>
  <c r="T77" i="2"/>
  <c r="U77" i="2"/>
  <c r="V77" i="2"/>
  <c r="W77" i="2"/>
  <c r="S3" i="2" l="1"/>
  <c r="T3" i="2" s="1"/>
  <c r="Q39" i="2"/>
  <c r="R39" i="2" s="1"/>
  <c r="S39" i="2" s="1"/>
  <c r="T39" i="2" s="1"/>
  <c r="V39" i="2" s="1"/>
  <c r="W39" i="2" s="1"/>
  <c r="M39" i="2" s="1"/>
  <c r="O65" i="2"/>
  <c r="P60" i="2"/>
  <c r="P66" i="2"/>
  <c r="V54" i="2"/>
  <c r="W54" i="2" s="1"/>
  <c r="U12" i="2"/>
  <c r="M44" i="2"/>
  <c r="L46" i="2" a="1"/>
  <c r="L46" i="2" s="1"/>
  <c r="T56" i="2"/>
  <c r="Q32" i="2"/>
  <c r="R32" i="2" s="1"/>
  <c r="S32" i="2" s="1"/>
  <c r="W32" i="2" s="1"/>
  <c r="Q15" i="2"/>
  <c r="Q38" i="2"/>
  <c r="R38" i="2" s="1"/>
  <c r="S38" i="2" s="1"/>
  <c r="T38" i="2" s="1"/>
  <c r="V38" i="2" s="1"/>
  <c r="W38" i="2" s="1"/>
  <c r="V31" i="2"/>
  <c r="W31" i="2" s="1"/>
  <c r="Q37" i="2"/>
  <c r="R37" i="2" s="1"/>
  <c r="S37" i="2" s="1"/>
  <c r="W37" i="2" s="1"/>
  <c r="L7" i="2" a="1"/>
  <c r="L7" i="2" s="1"/>
  <c r="L6" i="2" a="1"/>
  <c r="L6" i="2" s="1"/>
  <c r="L4" i="2" a="1"/>
  <c r="L4" i="2" s="1"/>
  <c r="Q35" i="2"/>
  <c r="R35" i="2" s="1"/>
  <c r="V35" i="2" s="1"/>
  <c r="W35" i="2" s="1"/>
  <c r="Q36" i="2"/>
  <c r="R36" i="2" s="1"/>
  <c r="S36" i="2" s="1"/>
  <c r="V36" i="2" s="1"/>
  <c r="W36" i="2" s="1"/>
  <c r="N62" i="2"/>
  <c r="N64" i="2" s="1" a="1"/>
  <c r="N64" i="2" s="1"/>
  <c r="N77" i="2"/>
  <c r="R41" i="2"/>
  <c r="N54" i="2" l="1"/>
  <c r="N36" i="2"/>
  <c r="N38" i="2"/>
  <c r="N37" i="2"/>
  <c r="M54" i="2"/>
  <c r="N39" i="2"/>
  <c r="N35" i="2"/>
  <c r="L54" i="2" a="1"/>
  <c r="L54" i="2" s="1"/>
  <c r="V12" i="2"/>
  <c r="L38" i="2" a="1"/>
  <c r="L38" i="2" s="1"/>
  <c r="U56" i="2"/>
  <c r="M38" i="2"/>
  <c r="S41" i="2"/>
  <c r="T41" i="2" s="1"/>
  <c r="U41" i="2" s="1"/>
  <c r="V41" i="2" s="1"/>
  <c r="U14" i="2"/>
  <c r="U3" i="2"/>
  <c r="N41" i="2" l="1"/>
  <c r="V56" i="2"/>
  <c r="W56" i="2" s="1"/>
  <c r="N56" i="2" s="1"/>
  <c r="V14" i="2"/>
  <c r="V3" i="2"/>
  <c r="M56" i="2" l="1"/>
  <c r="L56" i="2" a="1"/>
  <c r="L56" i="2" s="1"/>
  <c r="W14" i="2"/>
  <c r="N3" i="2"/>
  <c r="O70" i="2"/>
  <c r="O76" i="2"/>
  <c r="W60" i="2" l="1"/>
  <c r="Q40" i="2"/>
  <c r="Q76" i="2"/>
  <c r="P70" i="2"/>
  <c r="O78" i="2"/>
  <c r="N13" i="2"/>
  <c r="N32" i="2"/>
  <c r="N15" i="2"/>
  <c r="P71" i="2"/>
  <c r="P76" i="2"/>
  <c r="Q66" i="2" l="1"/>
  <c r="Q60" i="2"/>
  <c r="P65" i="2"/>
  <c r="Q70" i="2"/>
  <c r="R40" i="2"/>
  <c r="P78" i="2"/>
  <c r="R76" i="2"/>
  <c r="Q71" i="2"/>
  <c r="R70" i="2"/>
  <c r="N16" i="2"/>
  <c r="R66" i="2" l="1"/>
  <c r="R60" i="2"/>
  <c r="Q65" i="2"/>
  <c r="Q78" i="2"/>
  <c r="S40" i="2"/>
  <c r="S76" i="2"/>
  <c r="R71" i="2"/>
  <c r="R78" i="2" s="1"/>
  <c r="S66" i="2" l="1"/>
  <c r="R65" i="2"/>
  <c r="S60" i="2"/>
  <c r="S70" i="2"/>
  <c r="T40" i="2"/>
  <c r="S71" i="2"/>
  <c r="T76" i="2"/>
  <c r="T60" i="2" l="1"/>
  <c r="S65" i="2"/>
  <c r="T66" i="2"/>
  <c r="S78" i="2"/>
  <c r="T70" i="2"/>
  <c r="U40" i="2"/>
  <c r="U70" i="2"/>
  <c r="U76" i="2"/>
  <c r="T71" i="2"/>
  <c r="U60" i="2" l="1"/>
  <c r="T65" i="2"/>
  <c r="T78" i="2"/>
  <c r="V40" i="2"/>
  <c r="V76" i="2"/>
  <c r="U71" i="2"/>
  <c r="U78" i="2" s="1"/>
  <c r="V60" i="2" l="1"/>
  <c r="N40" i="2"/>
  <c r="V70" i="2"/>
  <c r="N14" i="2"/>
  <c r="V71" i="2"/>
  <c r="M40" i="2" l="1"/>
  <c r="V78" i="2"/>
  <c r="W70" i="2"/>
  <c r="W71" i="2"/>
  <c r="W78" i="2" l="1"/>
  <c r="N76" i="2"/>
  <c r="N31" i="2"/>
  <c r="N70" i="2" l="1"/>
  <c r="N71" i="2"/>
  <c r="N12" i="2"/>
  <c r="N78" i="2" l="1"/>
  <c r="P2" i="2" l="1"/>
  <c r="M3" i="2"/>
  <c r="O69" i="2"/>
  <c r="L3" i="2" a="1"/>
  <c r="L3" i="2" s="1"/>
  <c r="M4" i="2" l="1"/>
  <c r="M41" i="2"/>
  <c r="O62" i="2"/>
  <c r="O64" i="2" s="1" a="1"/>
  <c r="O64" i="2" s="1"/>
  <c r="Q2" i="2"/>
  <c r="P69" i="2"/>
  <c r="O63" i="2" l="1"/>
  <c r="L44" i="2" a="1"/>
  <c r="L44" i="2" s="1"/>
  <c r="L42" i="2" a="1"/>
  <c r="L42" i="2" s="1"/>
  <c r="M42" i="2"/>
  <c r="M6" i="2"/>
  <c r="L8" i="2" a="1"/>
  <c r="L8" i="2" s="1"/>
  <c r="R2" i="2"/>
  <c r="M5" i="2"/>
  <c r="L5" i="2" a="1"/>
  <c r="L5" i="2" s="1"/>
  <c r="P62" i="2"/>
  <c r="Q69" i="2"/>
  <c r="P63" i="2" l="1"/>
  <c r="P64" i="2" a="1"/>
  <c r="P64" i="2" s="1"/>
  <c r="M9" i="2"/>
  <c r="M10" i="2"/>
  <c r="M43" i="2"/>
  <c r="L12" i="2" a="1"/>
  <c r="L12" i="2" s="1"/>
  <c r="M12" i="2"/>
  <c r="L45" i="2" a="1"/>
  <c r="L45" i="2" s="1"/>
  <c r="L43" i="2" a="1"/>
  <c r="L43" i="2" s="1"/>
  <c r="M8" i="2"/>
  <c r="Q62" i="2"/>
  <c r="Q63" i="2" s="1"/>
  <c r="S2" i="2"/>
  <c r="M45" i="2" s="1"/>
  <c r="R69" i="2"/>
  <c r="Q64" i="2" l="1" a="1"/>
  <c r="Q64" i="2" s="1"/>
  <c r="L17" i="2" a="1"/>
  <c r="L17" i="2" s="1"/>
  <c r="L21" i="2" a="1"/>
  <c r="L21" i="2" s="1"/>
  <c r="L23" i="2" a="1"/>
  <c r="L23" i="2" s="1"/>
  <c r="L18" i="2" a="1"/>
  <c r="L18" i="2" s="1"/>
  <c r="L22" i="2" a="1"/>
  <c r="L22" i="2" s="1"/>
  <c r="L20" i="2" a="1"/>
  <c r="L20" i="2" s="1"/>
  <c r="L19" i="2" a="1"/>
  <c r="L19" i="2" s="1"/>
  <c r="L37" i="2" a="1"/>
  <c r="L37" i="2" s="1"/>
  <c r="L31" i="2" a="1"/>
  <c r="L31" i="2" s="1"/>
  <c r="M14" i="2"/>
  <c r="L16" i="2" a="1"/>
  <c r="L16" i="2" s="1"/>
  <c r="M48" i="2"/>
  <c r="L48" i="2" a="1"/>
  <c r="L48" i="2" s="1"/>
  <c r="L25" i="2" a="1"/>
  <c r="L25" i="2" s="1"/>
  <c r="L28" i="2" a="1"/>
  <c r="L28" i="2" s="1"/>
  <c r="L29" i="2" a="1"/>
  <c r="L29" i="2" s="1"/>
  <c r="L47" i="2" a="1"/>
  <c r="L47" i="2" s="1"/>
  <c r="M13" i="2"/>
  <c r="L10" i="2" a="1"/>
  <c r="L10" i="2" s="1"/>
  <c r="L14" i="2" a="1"/>
  <c r="L14" i="2" s="1"/>
  <c r="L13" i="2" a="1"/>
  <c r="L13" i="2" s="1"/>
  <c r="M11" i="2"/>
  <c r="L11" i="2" a="1"/>
  <c r="L11" i="2" s="1"/>
  <c r="R62" i="2"/>
  <c r="R63" i="2" s="1"/>
  <c r="T2" i="2"/>
  <c r="S69" i="2"/>
  <c r="M18" i="2" l="1"/>
  <c r="M15" i="2"/>
  <c r="L33" i="2" a="1"/>
  <c r="L33" i="2" s="1"/>
  <c r="M49" i="2"/>
  <c r="L24" i="2" a="1"/>
  <c r="L24" i="2" s="1"/>
  <c r="M19" i="2"/>
  <c r="M20" i="2"/>
  <c r="M46" i="2"/>
  <c r="L32" i="2" a="1"/>
  <c r="L32" i="2" s="1"/>
  <c r="L39" i="2" a="1"/>
  <c r="L39" i="2" s="1"/>
  <c r="L35" i="2" a="1"/>
  <c r="L35" i="2" s="1"/>
  <c r="M36" i="2"/>
  <c r="M31" i="2"/>
  <c r="M35" i="2"/>
  <c r="L34" i="2" a="1"/>
  <c r="L34" i="2" s="1"/>
  <c r="L49" i="2" a="1"/>
  <c r="L49" i="2" s="1"/>
  <c r="L36" i="2" a="1"/>
  <c r="L36" i="2" s="1"/>
  <c r="R64" i="2" a="1"/>
  <c r="R64" i="2" s="1"/>
  <c r="S62" i="2"/>
  <c r="S63" i="2" s="1"/>
  <c r="T69" i="2"/>
  <c r="U2" i="2"/>
  <c r="M7" i="2" l="1"/>
  <c r="M17" i="2"/>
  <c r="M26" i="2"/>
  <c r="M28" i="2"/>
  <c r="M30" i="2"/>
  <c r="L27" i="2" a="1"/>
  <c r="L27" i="2" s="1"/>
  <c r="M27" i="2"/>
  <c r="M29" i="2"/>
  <c r="L26" i="2" a="1"/>
  <c r="L26" i="2" s="1"/>
  <c r="M16" i="2"/>
  <c r="M32" i="2"/>
  <c r="M25" i="2"/>
  <c r="L30" i="2" a="1"/>
  <c r="L30" i="2" s="1"/>
  <c r="M33" i="2"/>
  <c r="M34" i="2"/>
  <c r="L50" i="2" a="1"/>
  <c r="L50" i="2" s="1"/>
  <c r="M37" i="2"/>
  <c r="L40" i="2" a="1"/>
  <c r="L40" i="2" s="1"/>
  <c r="L41" i="2" a="1"/>
  <c r="L41" i="2" s="1"/>
  <c r="S64" i="2" a="1"/>
  <c r="S64" i="2" s="1"/>
  <c r="T62" i="2"/>
  <c r="T63" i="2" s="1"/>
  <c r="V2" i="2"/>
  <c r="L15" i="2" a="1"/>
  <c r="L15" i="2" s="1"/>
  <c r="U69" i="2"/>
  <c r="T64" i="2" l="1" a="1"/>
  <c r="T64" i="2" s="1"/>
  <c r="W2" i="2"/>
  <c r="J60" i="2" s="1"/>
  <c r="U62" i="2"/>
  <c r="U63" i="2" s="1"/>
  <c r="V69" i="2"/>
  <c r="U64" i="2" l="1" a="1"/>
  <c r="U64" i="2" s="1"/>
  <c r="V62" i="2"/>
  <c r="K61" i="2"/>
  <c r="V63" i="2" l="1"/>
</calcChain>
</file>

<file path=xl/comments1.xml><?xml version="1.0" encoding="utf-8"?>
<comments xmlns="http://schemas.openxmlformats.org/spreadsheetml/2006/main">
  <authors>
    <author>João Cunha</author>
  </authors>
  <commentList>
    <comment ref="J6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6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<sst xmlns="http://schemas.openxmlformats.org/spreadsheetml/2006/main" count="286" uniqueCount="132">
  <si>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</si>
  <si>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</si>
  <si>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</si>
  <si>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</si>
  <si>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</si>
  <si>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</si>
  <si>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</si>
  <si>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</si>
  <si>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</si>
  <si>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</si>
  <si>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</si>
  <si>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</si>
  <si>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</si>
  <si>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</si>
  <si>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</si>
  <si>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</si>
  <si>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</si>
  <si>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</si>
  <si>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</si>
  <si>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</si>
  <si>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</si>
  <si>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</si>
  <si>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</si>
  <si>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</si>
  <si>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</si>
  <si>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</si>
  <si>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</si>
  <si>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</si>
  <si>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</si>
  <si>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</si>
  <si>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</si>
  <si>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</si>
  <si>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</si>
  <si>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</si>
  <si>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</si>
  <si>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</si>
  <si>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</si>
  <si>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</si>
  <si>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</si>
  <si>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</si>
  <si>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</si>
  <si>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</si>
  <si>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</si>
  <si>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</si>
  <si>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</si>
  <si>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</si>
  <si>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</si>
  <si>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</si>
  <si>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</si>
  <si>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</si>
  <si>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</si>
  <si>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</si>
  <si>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</si>
  <si>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</si>
  <si>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</si>
  <si>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</si>
  <si>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</si>
  <si>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</si>
  <si>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</si>
  <si>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</si>
  <si>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</si>
  <si>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</si>
  <si>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</si>
  <si>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</si>
  <si>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</si>
  <si>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</si>
  <si>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</si>
  <si>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</si>
  <si>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</si>
  <si>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</si>
  <si>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</si>
  <si>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</si>
  <si>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</si>
  <si>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</si>
  <si>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</si>
  <si>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</si>
  <si>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</si>
  <si>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</si>
  <si>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</si>
  <si>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</si>
  <si>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</si>
  <si>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</si>
  <si>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</si>
  <si>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</si>
  <si>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</si>
  <si>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</si>
  <si>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</si>
  <si>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</si>
  <si>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</si>
  <si>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</si>
  <si>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</si>
  <si>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</si>
  <si>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</si>
  <si>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</si>
  <si>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</si>
  <si>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</si>
  <si>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</si>
  <si>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</si>
  <si>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</si>
  <si>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</si>
  <si>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</si>
  <si>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</si>
  <si>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</si>
  <si>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</si>
  <si>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</si>
  <si>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</si>
  <si>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</si>
  <si>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</si>
  <si>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</si>
  <si>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</si>
  <si>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</si>
  <si>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</si>
  <si>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</si>
  <si>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</si>
  <si>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</si>
  <si>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</si>
  <si>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</si>
  <si>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</si>
  <si>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</si>
  <si>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</si>
  <si>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</si>
  <si>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</si>
  <si>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Week 8 Management</t>
  </si>
  <si>
    <t>Execution</t>
  </si>
  <si>
    <t>Shortcuts</t>
  </si>
  <si>
    <t>Settings</t>
  </si>
  <si>
    <t xml:space="preserve"> Coding </t>
  </si>
  <si>
    <t>Meetings</t>
  </si>
  <si>
    <t>Meeting Minute 1</t>
  </si>
  <si>
    <t>Meeting Minute 2</t>
  </si>
  <si>
    <t>Meeting Minute 3</t>
  </si>
  <si>
    <t>JM; 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</si>
</sst>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4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5" fillId="2" borderId="1" xfId="1" quotePrefix="1" applyFont="1" applyFill="1" applyBorder="1" applyAlignment="1" applyProtection="1">
      <alignment horizontal="center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30"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714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Tracking'!$C$63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Tracking'!$N$63:$U$63</c:f>
              <c:numCache>
                <c:formatCode>General</c:formatCode>
                <c:ptCount val="8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Tracking'!$C$64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Tracking'!$N$64:$U$64</c:f>
              <c:numCache>
                <c:formatCode>General</c:formatCode>
                <c:ptCount val="8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120.25</c:v>
                </c:pt>
                <c:pt idx="4">
                  <c:v>146.25</c:v>
                </c:pt>
                <c:pt idx="5">
                  <c:v>176.75</c:v>
                </c:pt>
                <c:pt idx="6">
                  <c:v>209.25</c:v>
                </c:pt>
                <c:pt idx="7">
                  <c:v>261.75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Tracking'!$C$65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Tracking'!$N$65:$U$65</c:f>
              <c:numCache>
                <c:formatCode>General</c:formatCode>
                <c:ptCount val="8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66.25</c:v>
                </c:pt>
                <c:pt idx="4">
                  <c:v>138.25</c:v>
                </c:pt>
                <c:pt idx="5">
                  <c:v>150.75</c:v>
                </c:pt>
                <c:pt idx="6">
                  <c:v>177.25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Tracking'!$C$66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'Project Tracking'!$N$62:$U$62</c:f>
              <c:numCache>
                <c:formatCode>m/d/yyyy</c:formatCode>
                <c:ptCount val="8"/>
                <c:pt idx="0">
                  <c:v>41372</c:v>
                </c:pt>
                <c:pt idx="1">
                  <c:v>41379</c:v>
                </c:pt>
                <c:pt idx="2">
                  <c:v>41386</c:v>
                </c:pt>
                <c:pt idx="3">
                  <c:v>41393</c:v>
                </c:pt>
                <c:pt idx="4">
                  <c:v>41407</c:v>
                </c:pt>
                <c:pt idx="5">
                  <c:v>41414</c:v>
                </c:pt>
                <c:pt idx="6">
                  <c:v>41421</c:v>
                </c:pt>
                <c:pt idx="7">
                  <c:v>41428</c:v>
                </c:pt>
              </c:numCache>
            </c:numRef>
          </c:cat>
          <c:val>
            <c:numRef>
              <c:f>'Project Tracking'!$N$66:$U$66</c:f>
              <c:numCache>
                <c:formatCode>General</c:formatCode>
                <c:ptCount val="8"/>
                <c:pt idx="0">
                  <c:v>0</c:v>
                </c:pt>
                <c:pt idx="1">
                  <c:v>33.5</c:v>
                </c:pt>
                <c:pt idx="2">
                  <c:v>51.75</c:v>
                </c:pt>
                <c:pt idx="3">
                  <c:v>76.25</c:v>
                </c:pt>
                <c:pt idx="4">
                  <c:v>116.25</c:v>
                </c:pt>
                <c:pt idx="5">
                  <c:v>150.19999999999999</c:v>
                </c:pt>
                <c:pt idx="6">
                  <c:v>191.25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5509552"/>
        <c:axId val="245509936"/>
      </c:lineChart>
      <c:catAx>
        <c:axId val="2455095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45509936"/>
        <c:crosses val="autoZero"/>
        <c:auto val="0"/>
        <c:lblAlgn val="ctr"/>
        <c:lblOffset val="100"/>
        <c:noMultiLvlLbl val="0"/>
      </c:catAx>
      <c:valAx>
        <c:axId val="245509936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455095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6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81"/>
  <sheetViews>
    <sheetView showGridLines="0" tabSelected="1" zoomScaleNormal="100" workbookViewId="0">
      <pane xSplit="6" ySplit="2" topLeftCell="I23" activePane="bottomRight" state="frozen"/>
      <selection pane="topRight" activeCell="F1" sqref="F1"/>
      <selection pane="bottomLeft" activeCell="A3" sqref="A3"/>
      <selection pane="bottomRight" activeCell="U8" sqref="U8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3.8554687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3" t="s">
        <v>9</v>
      </c>
      <c r="H1" s="94"/>
      <c r="I1" s="94"/>
      <c r="J1" s="94"/>
      <c r="K1" s="95"/>
      <c r="L1" s="96" t="s">
        <v>11</v>
      </c>
      <c r="M1" s="97"/>
      <c r="N1" s="98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8" t="s">
        <v>69</v>
      </c>
      <c r="D3" s="68" t="s">
        <v>70</v>
      </c>
      <c r="E3" s="68" t="s">
        <v>17</v>
      </c>
      <c r="F3" s="89"/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5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113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/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8" t="s">
        <v>69</v>
      </c>
      <c r="D4" s="68" t="s">
        <v>71</v>
      </c>
      <c r="E4" s="68"/>
      <c r="F4" s="89"/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2" si="3">SUM(O4:CG4)</f>
        <v>11.5</v>
      </c>
      <c r="O4" s="51">
        <v>10.5</v>
      </c>
      <c r="P4" s="51">
        <v>1</v>
      </c>
      <c r="Q4" s="51" t="s">
        <v>112</v>
      </c>
      <c r="R4" s="51" t="s">
        <v>112</v>
      </c>
      <c r="S4" s="51" t="s">
        <v>112</v>
      </c>
      <c r="T4" s="51" t="s">
        <v>112</v>
      </c>
      <c r="U4" s="51" t="s">
        <v>112</v>
      </c>
      <c r="V4" s="51" t="s">
        <v>113</v>
      </c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8" t="s">
        <v>69</v>
      </c>
      <c r="D5" s="68" t="s">
        <v>72</v>
      </c>
      <c r="E5" s="68"/>
      <c r="F5" s="89"/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112</v>
      </c>
      <c r="R5" s="51" t="s">
        <v>112</v>
      </c>
      <c r="S5" s="51" t="s">
        <v>112</v>
      </c>
      <c r="T5" s="51" t="s">
        <v>112</v>
      </c>
      <c r="U5" s="51" t="s">
        <v>112</v>
      </c>
      <c r="V5" s="51" t="s">
        <v>112</v>
      </c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8" t="s">
        <v>69</v>
      </c>
      <c r="D6" s="68" t="s">
        <v>73</v>
      </c>
      <c r="E6" s="68"/>
      <c r="F6" s="89"/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>
        <f t="shared" si="1"/>
        <v>41386</v>
      </c>
      <c r="N6" s="56">
        <f t="shared" si="3"/>
        <v>24</v>
      </c>
      <c r="O6" s="51">
        <v>6</v>
      </c>
      <c r="P6" s="51">
        <v>3</v>
      </c>
      <c r="Q6" s="51">
        <v>15</v>
      </c>
      <c r="R6" s="51" t="s">
        <v>112</v>
      </c>
      <c r="S6" s="51" t="s">
        <v>112</v>
      </c>
      <c r="T6" s="51" t="s">
        <v>112</v>
      </c>
      <c r="U6" s="51" t="s">
        <v>112</v>
      </c>
      <c r="V6" s="51" t="s">
        <v>112</v>
      </c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8" t="s">
        <v>69</v>
      </c>
      <c r="D7" s="68" t="s">
        <v>109</v>
      </c>
      <c r="E7" s="68" t="s">
        <v>108</v>
      </c>
      <c r="F7" s="89"/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>
        <f t="shared" si="1"/>
        <v>41421</v>
      </c>
      <c r="N7" s="56">
        <f t="shared" si="3"/>
        <v>48</v>
      </c>
      <c r="O7" s="51">
        <v>10</v>
      </c>
      <c r="P7" s="51">
        <v>8</v>
      </c>
      <c r="Q7" s="51">
        <v>0.5</v>
      </c>
      <c r="R7" s="51">
        <f>4.75+3.5</f>
        <v>8.25</v>
      </c>
      <c r="S7" s="51">
        <f>4.25+4+0.25</f>
        <v>8.5</v>
      </c>
      <c r="T7" s="51">
        <f>3+6</f>
        <v>9</v>
      </c>
      <c r="U7" s="51">
        <f>0.5+2+1.25</f>
        <v>3.75</v>
      </c>
      <c r="V7" s="51" t="s">
        <v>112</v>
      </c>
      <c r="W7" s="51" t="s">
        <v>112</v>
      </c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8" t="s">
        <v>69</v>
      </c>
      <c r="D8" s="68" t="s">
        <v>74</v>
      </c>
      <c r="E8" s="68" t="s">
        <v>75</v>
      </c>
      <c r="F8" s="89"/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>
        <f t="array" ref="L8">IF(ISNA(INDEX($O$2:$DA$2,1,MATCH(1,IF($O8:$DM8,1),0))),"",INDEX($O$2:$DA$2,1,MATCH(1,IF($O8:$DM8,1),0)))</f>
        <v>41386</v>
      </c>
      <c r="M8" s="55">
        <f t="shared" si="1"/>
        <v>41393</v>
      </c>
      <c r="N8" s="56">
        <f t="shared" si="3"/>
        <v>10.25</v>
      </c>
      <c r="O8" s="51"/>
      <c r="P8" s="51"/>
      <c r="Q8" s="51">
        <f>2.25+1.75+2.5</f>
        <v>6.5</v>
      </c>
      <c r="R8" s="51">
        <f>1.25+2.5</f>
        <v>3.75</v>
      </c>
      <c r="S8" s="51" t="s">
        <v>113</v>
      </c>
      <c r="T8" s="51" t="s">
        <v>113</v>
      </c>
      <c r="U8" s="51" t="s">
        <v>113</v>
      </c>
      <c r="V8" s="51" t="s">
        <v>113</v>
      </c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8" t="s">
        <v>69</v>
      </c>
      <c r="D9" s="68" t="s">
        <v>74</v>
      </c>
      <c r="E9" s="68" t="s">
        <v>76</v>
      </c>
      <c r="F9" s="89"/>
      <c r="G9" s="45">
        <v>41393</v>
      </c>
      <c r="H9" s="45">
        <v>41393</v>
      </c>
      <c r="I9" s="76">
        <v>6</v>
      </c>
      <c r="J9" s="43">
        <v>2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>
        <f t="shared" si="1"/>
        <v>41393</v>
      </c>
      <c r="N9" s="56">
        <f t="shared" si="3"/>
        <v>0</v>
      </c>
      <c r="O9" s="51"/>
      <c r="P9" s="51"/>
      <c r="Q9" s="51"/>
      <c r="R9" s="51">
        <v>0</v>
      </c>
      <c r="S9" s="51" t="s">
        <v>113</v>
      </c>
      <c r="T9" s="51" t="s">
        <v>112</v>
      </c>
      <c r="U9" s="51" t="s">
        <v>112</v>
      </c>
      <c r="V9" s="51" t="s">
        <v>112</v>
      </c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/>
      <c r="G10" s="45">
        <v>41393</v>
      </c>
      <c r="H10" s="45">
        <v>41393</v>
      </c>
      <c r="I10" s="76">
        <v>7</v>
      </c>
      <c r="J10" s="43">
        <v>2</v>
      </c>
      <c r="K10" s="3">
        <v>8</v>
      </c>
      <c r="L10" s="55">
        <f t="array" ref="L10">IF(ISNA(INDEX($O$2:$DA$2,1,MATCH(1,IF($O10:$DM10,1),0))),"",INDEX($O$2:$DA$2,1,MATCH(1,IF($O10:$DM10,1),0)))</f>
        <v>41393</v>
      </c>
      <c r="M10" s="55">
        <f t="shared" si="1"/>
        <v>41393</v>
      </c>
      <c r="N10" s="56">
        <f t="shared" si="3"/>
        <v>8.75</v>
      </c>
      <c r="O10" s="51"/>
      <c r="P10" s="51"/>
      <c r="Q10" s="51"/>
      <c r="R10" s="51">
        <f>8.75</f>
        <v>8.75</v>
      </c>
      <c r="S10" s="51" t="s">
        <v>113</v>
      </c>
      <c r="T10" s="51" t="s">
        <v>113</v>
      </c>
      <c r="U10" s="51" t="s">
        <v>113</v>
      </c>
      <c r="V10" s="51" t="s">
        <v>113</v>
      </c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2">
        <v>9</v>
      </c>
      <c r="C11" s="73" t="s">
        <v>69</v>
      </c>
      <c r="D11" s="74" t="s">
        <v>78</v>
      </c>
      <c r="E11" s="74"/>
      <c r="F11" s="89"/>
      <c r="G11" s="45">
        <v>41393</v>
      </c>
      <c r="H11" s="82">
        <v>41407</v>
      </c>
      <c r="I11" s="76">
        <v>7</v>
      </c>
      <c r="J11" s="83">
        <v>1</v>
      </c>
      <c r="K11" s="84">
        <v>10</v>
      </c>
      <c r="L11" s="85">
        <f t="array" ref="L11">IF(ISNA(INDEX($O$2:$DA$2,1,MATCH(1,IF($O11:$DM11,1),0))),"",INDEX($O$2:$DA$2,1,MATCH(1,IF($O11:$DM11,1),0)))</f>
        <v>41393</v>
      </c>
      <c r="M11" s="55">
        <f t="shared" si="1"/>
        <v>41393</v>
      </c>
      <c r="N11" s="86">
        <f t="shared" si="3"/>
        <v>8.75</v>
      </c>
      <c r="O11" s="87"/>
      <c r="P11" s="87"/>
      <c r="Q11" s="87"/>
      <c r="R11" s="87">
        <f>1.25*7</f>
        <v>8.75</v>
      </c>
      <c r="S11" s="87" t="s">
        <v>113</v>
      </c>
      <c r="T11" s="87" t="s">
        <v>112</v>
      </c>
      <c r="U11" s="87" t="s">
        <v>113</v>
      </c>
      <c r="V11" s="87" t="s">
        <v>112</v>
      </c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/>
      <c r="G12" s="75">
        <v>41393</v>
      </c>
      <c r="H12" s="75">
        <v>41407</v>
      </c>
      <c r="I12" s="76">
        <v>4</v>
      </c>
      <c r="J12" s="76">
        <v>1</v>
      </c>
      <c r="K12" s="77">
        <v>3</v>
      </c>
      <c r="L12" s="78">
        <f t="array" ref="L12">IF(ISNA(INDEX($O$2:$DA$2,1,MATCH(1,IF($O12:$DM12,1),0))),"",INDEX($O$2:$DA$2,1,MATCH(1,IF($O12:$DM12,1),0)))</f>
        <v>41393</v>
      </c>
      <c r="M12" s="55">
        <f t="shared" si="1"/>
        <v>41393</v>
      </c>
      <c r="N12" s="79">
        <f t="shared" si="3"/>
        <v>2.75</v>
      </c>
      <c r="O12" s="80"/>
      <c r="P12" s="80"/>
      <c r="Q12" s="80"/>
      <c r="R12" s="80">
        <f>2.25+0.5</f>
        <v>2.75</v>
      </c>
      <c r="S12" s="80" t="s">
        <v>113</v>
      </c>
      <c r="T12" s="80" t="s">
        <v>112</v>
      </c>
      <c r="U12" s="80" t="str">
        <f t="shared" ref="U12:V13" si="4">IF(ISNUMBER(T12)," ",IF(T12="X","X"," "))</f>
        <v>X</v>
      </c>
      <c r="V12" s="80" t="str">
        <f t="shared" si="4"/>
        <v>X</v>
      </c>
      <c r="W12" s="80"/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x14ac:dyDescent="0.2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/>
      <c r="G13" s="75">
        <v>41393</v>
      </c>
      <c r="H13" s="45">
        <v>41407</v>
      </c>
      <c r="I13" s="43">
        <v>10</v>
      </c>
      <c r="J13" s="43">
        <v>2</v>
      </c>
      <c r="K13" s="3">
        <v>13</v>
      </c>
      <c r="L13" s="55">
        <f t="array" ref="L13">IF(ISNA(INDEX($O$2:$DA$2,1,MATCH(1,IF($O13:$DM13,1),0))),"",INDEX($O$2:$DA$2,1,MATCH(1,IF($O13:$DM13,1),0)))</f>
        <v>41393</v>
      </c>
      <c r="M13" s="55">
        <f t="shared" si="1"/>
        <v>41393</v>
      </c>
      <c r="N13" s="56">
        <f t="shared" si="3"/>
        <v>1.75</v>
      </c>
      <c r="O13" s="51"/>
      <c r="P13" s="51"/>
      <c r="Q13" s="51"/>
      <c r="R13" s="51">
        <v>1.75</v>
      </c>
      <c r="S13" s="51" t="s">
        <v>113</v>
      </c>
      <c r="T13" s="51" t="s">
        <v>112</v>
      </c>
      <c r="U13" s="51" t="str">
        <f t="shared" si="4"/>
        <v>X</v>
      </c>
      <c r="V13" s="51" t="str">
        <f t="shared" si="4"/>
        <v>X</v>
      </c>
      <c r="W13" s="51"/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/>
      <c r="G14" s="45">
        <v>41400</v>
      </c>
      <c r="H14" s="45">
        <v>41414</v>
      </c>
      <c r="I14" s="43">
        <v>11</v>
      </c>
      <c r="J14" s="43">
        <v>2</v>
      </c>
      <c r="K14" s="3">
        <v>8</v>
      </c>
      <c r="L14" s="55">
        <f t="array" ref="L14">IF(ISNA(INDEX($O$2:$DA$2,1,MATCH(1,IF($O14:$DM14,1),0))),"",INDEX($O$2:$DA$2,1,MATCH(1,IF($O14:$DM14,1),0)))</f>
        <v>41393</v>
      </c>
      <c r="M14" s="55">
        <f t="shared" si="1"/>
        <v>41407</v>
      </c>
      <c r="N14" s="56">
        <f t="shared" si="3"/>
        <v>5</v>
      </c>
      <c r="O14" s="51"/>
      <c r="P14" s="51"/>
      <c r="Q14" s="51"/>
      <c r="R14" s="51">
        <f>2.5</f>
        <v>2.5</v>
      </c>
      <c r="S14" s="51">
        <v>2.5</v>
      </c>
      <c r="T14" s="51" t="s">
        <v>112</v>
      </c>
      <c r="U14" s="51" t="str">
        <f t="shared" ref="U14:W16" si="5">IF(ISNUMBER(T14)," ",IF(T14="X","X"," "))</f>
        <v>X</v>
      </c>
      <c r="V14" s="51" t="str">
        <f t="shared" si="5"/>
        <v>X</v>
      </c>
      <c r="W14" s="51" t="str">
        <f t="shared" si="5"/>
        <v>X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/>
      <c r="G15" s="45">
        <v>41407</v>
      </c>
      <c r="H15" s="45">
        <v>41414</v>
      </c>
      <c r="I15" s="46"/>
      <c r="J15" s="43">
        <v>1</v>
      </c>
      <c r="K15" s="3">
        <v>2</v>
      </c>
      <c r="L15" s="55">
        <f t="array" ref="L15">IF(ISNA(INDEX($O$2:$DA$2,1,MATCH(1,IF($O15:$DM15,1),0))),"",INDEX($O$2:$DA$2,1,MATCH(1,IF($O15:$DM15,1),0)))</f>
        <v>41407</v>
      </c>
      <c r="M15" s="55">
        <f t="shared" si="1"/>
        <v>41414</v>
      </c>
      <c r="N15" s="56">
        <f t="shared" si="3"/>
        <v>1.5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>
        <v>1</v>
      </c>
      <c r="T15" s="51">
        <v>0.5</v>
      </c>
      <c r="U15" s="51" t="s">
        <v>113</v>
      </c>
      <c r="V15" s="51" t="str">
        <f t="shared" si="5"/>
        <v>X</v>
      </c>
      <c r="W15" s="51" t="str">
        <f t="shared" si="5"/>
        <v>X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/>
      <c r="G16" s="45">
        <v>41414</v>
      </c>
      <c r="H16" s="45">
        <v>41421</v>
      </c>
      <c r="I16" s="43">
        <v>13</v>
      </c>
      <c r="J16" s="43">
        <v>1</v>
      </c>
      <c r="K16" s="3">
        <v>5</v>
      </c>
      <c r="L16" s="55">
        <f t="array" ref="L16">IF(ISNA(INDEX($O$2:$DA$2,1,MATCH(1,IF($O16:$DM16,1),0))),"",INDEX($O$2:$DA$2,1,MATCH(1,IF($O16:$DM16,1),0)))</f>
        <v>41407</v>
      </c>
      <c r="M16" s="55">
        <f t="shared" si="1"/>
        <v>41421</v>
      </c>
      <c r="N16" s="56">
        <f t="shared" si="3"/>
        <v>1.75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>
        <v>1</v>
      </c>
      <c r="T16" s="51">
        <v>0</v>
      </c>
      <c r="U16" s="51">
        <f>0.25+0.5</f>
        <v>0.75</v>
      </c>
      <c r="V16" s="51" t="s">
        <v>113</v>
      </c>
      <c r="W16" s="51" t="str">
        <f t="shared" si="5"/>
        <v>X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8" t="s">
        <v>79</v>
      </c>
      <c r="D17" s="68" t="s">
        <v>85</v>
      </c>
      <c r="E17" s="68" t="s">
        <v>110</v>
      </c>
      <c r="F17" s="89"/>
      <c r="G17" s="45">
        <v>41414</v>
      </c>
      <c r="H17" s="45">
        <v>41421</v>
      </c>
      <c r="I17" s="43">
        <v>14</v>
      </c>
      <c r="J17" s="43">
        <v>1</v>
      </c>
      <c r="K17" s="3">
        <v>2</v>
      </c>
      <c r="L17" s="55">
        <f t="array" ref="L17">IF(ISNA(INDEX($O$2:$DA$2,1,MATCH(1,IF($O17:$DM17,1),0))),"",INDEX($O$2:$DA$2,1,MATCH(1,IF($O17:$DM17,1),0)))</f>
        <v>41407</v>
      </c>
      <c r="M17" s="55">
        <f t="shared" si="1"/>
        <v>41421</v>
      </c>
      <c r="N17" s="56">
        <f t="shared" si="3"/>
        <v>0.75</v>
      </c>
      <c r="O17" s="51"/>
      <c r="P17" s="51"/>
      <c r="Q17" s="51"/>
      <c r="R17" s="51"/>
      <c r="S17" s="51">
        <v>0.25</v>
      </c>
      <c r="T17" s="90">
        <v>0</v>
      </c>
      <c r="U17" s="51">
        <v>0.5</v>
      </c>
      <c r="V17" s="51" t="s">
        <v>112</v>
      </c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/>
      <c r="G18" s="45">
        <v>41407</v>
      </c>
      <c r="H18" s="45">
        <v>41414</v>
      </c>
      <c r="I18" s="46"/>
      <c r="J18" s="43">
        <v>1</v>
      </c>
      <c r="K18" s="3">
        <v>1</v>
      </c>
      <c r="L18" s="55">
        <f t="array" ref="L18">IF(ISNA(INDEX($O$2:$DA$2,1,MATCH(1,IF($O18:$DM18,1),0))),"",INDEX($O$2:$DA$2,1,MATCH(1,IF($O18:$DM18,1),0)))</f>
        <v>41407</v>
      </c>
      <c r="M18" s="55">
        <f t="shared" si="1"/>
        <v>41414</v>
      </c>
      <c r="N18" s="56">
        <f t="shared" si="3"/>
        <v>1</v>
      </c>
      <c r="O18" s="51"/>
      <c r="P18" s="51"/>
      <c r="Q18" s="51"/>
      <c r="R18" s="51"/>
      <c r="S18" s="51">
        <v>0.75</v>
      </c>
      <c r="T18" s="51">
        <v>0.25</v>
      </c>
      <c r="U18" s="51" t="s">
        <v>112</v>
      </c>
      <c r="V18" s="51" t="s">
        <v>112</v>
      </c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/>
      <c r="G19" s="45">
        <v>41407</v>
      </c>
      <c r="H19" s="45">
        <v>41421</v>
      </c>
      <c r="I19" s="43">
        <v>16</v>
      </c>
      <c r="J19" s="43">
        <v>1</v>
      </c>
      <c r="K19" s="3">
        <v>3</v>
      </c>
      <c r="L19" s="55">
        <f t="array" ref="L19">IF(ISNA(INDEX($O$2:$DA$2,1,MATCH(1,IF($O19:$DM19,1),0))),"",INDEX($O$2:$DA$2,1,MATCH(1,IF($O19:$DM19,1),0)))</f>
        <v>41407</v>
      </c>
      <c r="M19" s="55">
        <f t="shared" si="1"/>
        <v>41414</v>
      </c>
      <c r="N19" s="56">
        <f t="shared" si="3"/>
        <v>3.5</v>
      </c>
      <c r="O19" s="51"/>
      <c r="P19" s="51"/>
      <c r="Q19" s="51"/>
      <c r="R19" s="51"/>
      <c r="S19" s="51">
        <v>3</v>
      </c>
      <c r="T19" s="51">
        <v>0.5</v>
      </c>
      <c r="U19" s="51" t="s">
        <v>113</v>
      </c>
      <c r="V19" s="51" t="s">
        <v>113</v>
      </c>
      <c r="W19" s="51" t="s">
        <v>113</v>
      </c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/>
      <c r="G20" s="45">
        <v>41407</v>
      </c>
      <c r="H20" s="45">
        <v>41421</v>
      </c>
      <c r="I20" s="43">
        <v>17</v>
      </c>
      <c r="J20" s="43">
        <v>1</v>
      </c>
      <c r="K20" s="3">
        <v>1</v>
      </c>
      <c r="L20" s="55">
        <f t="array" ref="L20">IF(ISNA(INDEX($O$2:$DA$2,1,MATCH(1,IF($O20:$DM20,1),0))),"",INDEX($O$2:$DA$2,1,MATCH(1,IF($O20:$DM20,1),0)))</f>
        <v>41407</v>
      </c>
      <c r="M20" s="55">
        <f t="shared" si="1"/>
        <v>41414</v>
      </c>
      <c r="N20" s="56">
        <f t="shared" si="3"/>
        <v>1.75</v>
      </c>
      <c r="O20" s="51"/>
      <c r="P20" s="51"/>
      <c r="Q20" s="51"/>
      <c r="R20" s="51"/>
      <c r="S20" s="51">
        <v>0.75</v>
      </c>
      <c r="T20" s="51">
        <v>1</v>
      </c>
      <c r="U20" s="51" t="s">
        <v>113</v>
      </c>
      <c r="V20" s="51" t="s">
        <v>113</v>
      </c>
      <c r="W20" s="51" t="s">
        <v>113</v>
      </c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/>
      <c r="G21" s="45">
        <v>41407</v>
      </c>
      <c r="H21" s="45">
        <v>41414</v>
      </c>
      <c r="I21" s="46"/>
      <c r="J21" s="43">
        <v>1</v>
      </c>
      <c r="K21" s="3">
        <v>2</v>
      </c>
      <c r="L21" s="55">
        <f t="array" ref="L21">IF(ISNA(INDEX($O$2:$DA$2,1,MATCH(1,IF($O21:$DM21,1),0))),"",INDEX($O$2:$DA$2,1,MATCH(1,IF($O21:$DM21,1),0)))</f>
        <v>41407</v>
      </c>
      <c r="M21" s="55" t="str">
        <f t="shared" si="1"/>
        <v/>
      </c>
      <c r="N21" s="56">
        <f t="shared" si="3"/>
        <v>2.25</v>
      </c>
      <c r="O21" s="51"/>
      <c r="P21" s="51"/>
      <c r="Q21" s="51"/>
      <c r="R21" s="51"/>
      <c r="S21" s="51">
        <f>0.5+1</f>
        <v>1.5</v>
      </c>
      <c r="T21" s="51">
        <f>0.25</f>
        <v>0.25</v>
      </c>
      <c r="U21" s="51">
        <f>0.5</f>
        <v>0.5</v>
      </c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/>
      <c r="G22" s="45">
        <v>41414</v>
      </c>
      <c r="H22" s="45">
        <v>41428</v>
      </c>
      <c r="I22" s="43">
        <v>19</v>
      </c>
      <c r="J22" s="43">
        <v>2</v>
      </c>
      <c r="K22" s="3">
        <v>10</v>
      </c>
      <c r="L22" s="55">
        <f t="array" ref="L22">IF(ISNA(INDEX($O$2:$DA$2,1,MATCH(1,IF($O22:$DM22,1),0))),"",INDEX($O$2:$DA$2,1,MATCH(1,IF($O22:$DM22,1),0)))</f>
        <v>41407</v>
      </c>
      <c r="M22" s="55" t="str">
        <f t="shared" si="1"/>
        <v/>
      </c>
      <c r="N22" s="56">
        <f t="shared" si="3"/>
        <v>6.5</v>
      </c>
      <c r="O22" s="51"/>
      <c r="P22" s="51"/>
      <c r="Q22" s="51"/>
      <c r="R22" s="51"/>
      <c r="S22" s="51">
        <v>2</v>
      </c>
      <c r="T22" s="51">
        <v>4</v>
      </c>
      <c r="U22" s="51">
        <v>0.5</v>
      </c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/>
      <c r="G23" s="45">
        <v>41421</v>
      </c>
      <c r="H23" s="45">
        <v>41428</v>
      </c>
      <c r="I23" s="43">
        <v>20</v>
      </c>
      <c r="J23" s="43">
        <v>1</v>
      </c>
      <c r="K23" s="3">
        <v>1</v>
      </c>
      <c r="L23" s="55">
        <f t="array" ref="L23">IF(ISNA(INDEX($O$2:$DA$2,1,MATCH(1,IF($O23:$DM23,1),0))),"",INDEX($O$2:$DA$2,1,MATCH(1,IF($O23:$DM23,1),0)))</f>
        <v>41407</v>
      </c>
      <c r="M23" s="55" t="str">
        <f t="shared" si="1"/>
        <v/>
      </c>
      <c r="N23" s="56">
        <f t="shared" si="3"/>
        <v>0.25</v>
      </c>
      <c r="O23" s="51"/>
      <c r="P23" s="51"/>
      <c r="Q23" s="51"/>
      <c r="R23" s="51"/>
      <c r="S23" s="51">
        <v>0.25</v>
      </c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/>
      <c r="G24" s="45">
        <v>41414</v>
      </c>
      <c r="H24" s="45">
        <v>41428</v>
      </c>
      <c r="I24" s="46"/>
      <c r="J24" s="43">
        <v>2</v>
      </c>
      <c r="K24" s="3">
        <v>8</v>
      </c>
      <c r="L24" s="55">
        <f t="array" ref="L24">IF(ISNA(INDEX($O$2:$DA$2,1,MATCH(1,IF($O24:$DM24,1),0))),"",INDEX($O$2:$DA$2,1,MATCH(1,IF($O24:$DM24,1),0)))</f>
        <v>41414</v>
      </c>
      <c r="M24" s="55" t="str">
        <f t="shared" si="1"/>
        <v/>
      </c>
      <c r="N24" s="56">
        <f t="shared" si="3"/>
        <v>5.25</v>
      </c>
      <c r="O24" s="51"/>
      <c r="P24" s="51"/>
      <c r="Q24" s="51"/>
      <c r="R24" s="51"/>
      <c r="S24" s="51"/>
      <c r="T24" s="51">
        <f>0.75+4.5</f>
        <v>5.25</v>
      </c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/>
      <c r="G25" s="45">
        <v>41407</v>
      </c>
      <c r="H25" s="45">
        <v>41414</v>
      </c>
      <c r="I25" s="46"/>
      <c r="J25" s="43">
        <v>1</v>
      </c>
      <c r="K25" s="3">
        <v>1</v>
      </c>
      <c r="L25" s="55">
        <f t="array" ref="L25">IF(ISNA(INDEX($O$2:$DA$2,1,MATCH(1,IF($O25:$DM25,1),0))),"",INDEX($O$2:$DA$2,1,MATCH(1,IF($O25:$DM25,1),0)))</f>
        <v>41407</v>
      </c>
      <c r="M25" s="55">
        <f t="shared" si="1"/>
        <v>41421</v>
      </c>
      <c r="N25" s="56">
        <f t="shared" si="3"/>
        <v>1</v>
      </c>
      <c r="O25" s="51"/>
      <c r="P25" s="51"/>
      <c r="Q25" s="51"/>
      <c r="R25" s="51"/>
      <c r="S25" s="51">
        <v>0.45</v>
      </c>
      <c r="T25" s="51">
        <v>0.3</v>
      </c>
      <c r="U25" s="51">
        <v>0.25</v>
      </c>
      <c r="V25" s="51" t="s">
        <v>112</v>
      </c>
      <c r="W25" s="51" t="s">
        <v>112</v>
      </c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/>
      <c r="G26" s="45">
        <v>41414</v>
      </c>
      <c r="H26" s="45">
        <v>41421</v>
      </c>
      <c r="I26" s="43">
        <v>23</v>
      </c>
      <c r="J26" s="43">
        <v>1</v>
      </c>
      <c r="K26" s="3">
        <v>3</v>
      </c>
      <c r="L26" s="55">
        <f t="array" ref="L26">IF(ISNA(INDEX($O$2:$DA$2,1,MATCH(1,IF($O26:$DM26,1),0))),"",INDEX($O$2:$DA$2,1,MATCH(1,IF($O26:$DM26,1),0)))</f>
        <v>41421</v>
      </c>
      <c r="M26" s="55">
        <f t="shared" si="1"/>
        <v>41421</v>
      </c>
      <c r="N26" s="56">
        <f t="shared" si="3"/>
        <v>0.75</v>
      </c>
      <c r="O26" s="51"/>
      <c r="P26" s="51"/>
      <c r="Q26" s="51"/>
      <c r="R26" s="51"/>
      <c r="S26" s="51"/>
      <c r="T26" s="51"/>
      <c r="U26" s="51">
        <f>0.75</f>
        <v>0.75</v>
      </c>
      <c r="V26" s="51" t="s">
        <v>112</v>
      </c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/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>
        <f t="array" ref="L27">IF(ISNA(INDEX($O$2:$DA$2,1,MATCH(1,IF($O27:$DM27,1),0))),"",INDEX($O$2:$DA$2,1,MATCH(1,IF($O27:$DM27,1),0)))</f>
        <v>41421</v>
      </c>
      <c r="M27" s="55">
        <f t="shared" si="1"/>
        <v>41421</v>
      </c>
      <c r="N27" s="56">
        <f t="shared" si="3"/>
        <v>0.25</v>
      </c>
      <c r="O27" s="51"/>
      <c r="P27" s="51"/>
      <c r="Q27" s="51"/>
      <c r="R27" s="51"/>
      <c r="S27" s="51"/>
      <c r="T27" s="51"/>
      <c r="U27" s="51">
        <v>0.25</v>
      </c>
      <c r="V27" s="51" t="s">
        <v>112</v>
      </c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/>
      <c r="G28" s="45">
        <v>41407</v>
      </c>
      <c r="H28" s="45">
        <v>41414</v>
      </c>
      <c r="I28" s="46"/>
      <c r="J28" s="43">
        <v>1</v>
      </c>
      <c r="K28" s="3">
        <v>2</v>
      </c>
      <c r="L28" s="55">
        <f t="array" ref="L28">IF(ISNA(INDEX($O$2:$DA$2,1,MATCH(1,IF($O28:$DM28,1),0))),"",INDEX($O$2:$DA$2,1,MATCH(1,IF($O28:$DM28,1),0)))</f>
        <v>41407</v>
      </c>
      <c r="M28" s="55">
        <f t="shared" si="1"/>
        <v>41421</v>
      </c>
      <c r="N28" s="56">
        <f t="shared" si="3"/>
        <v>5</v>
      </c>
      <c r="O28" s="51"/>
      <c r="P28" s="51"/>
      <c r="Q28" s="51"/>
      <c r="R28" s="51"/>
      <c r="S28" s="51">
        <v>2.5</v>
      </c>
      <c r="T28" s="51">
        <f>1.25+0.75</f>
        <v>2</v>
      </c>
      <c r="U28" s="51">
        <f>0.5</f>
        <v>0.5</v>
      </c>
      <c r="V28" s="51" t="s">
        <v>113</v>
      </c>
      <c r="W28" s="51" t="s">
        <v>113</v>
      </c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/>
      <c r="G29" s="45">
        <v>41414</v>
      </c>
      <c r="H29" s="45">
        <v>41421</v>
      </c>
      <c r="I29" s="43">
        <v>26</v>
      </c>
      <c r="J29" s="43">
        <v>1</v>
      </c>
      <c r="K29" s="3">
        <v>5</v>
      </c>
      <c r="L29" s="55">
        <f t="array" ref="L29">IF(ISNA(INDEX($O$2:$DA$2,1,MATCH(1,IF($O29:$DM29,1),0))),"",INDEX($O$2:$DA$2,1,MATCH(1,IF($O29:$DM29,1),0)))</f>
        <v>41407</v>
      </c>
      <c r="M29" s="55">
        <f t="shared" si="1"/>
        <v>41421</v>
      </c>
      <c r="N29" s="56">
        <f t="shared" si="3"/>
        <v>6.75</v>
      </c>
      <c r="O29" s="51"/>
      <c r="P29" s="51"/>
      <c r="Q29" s="51"/>
      <c r="R29" s="51"/>
      <c r="S29" s="51">
        <v>2.5</v>
      </c>
      <c r="T29" s="51">
        <f>2+1.5</f>
        <v>3.5</v>
      </c>
      <c r="U29" s="51">
        <f>0.75</f>
        <v>0.75</v>
      </c>
      <c r="V29" s="51" t="s">
        <v>113</v>
      </c>
      <c r="W29" s="51" t="s">
        <v>113</v>
      </c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/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>
        <f t="array" ref="L30">IF(ISNA(INDEX($O$2:$DA$2,1,MATCH(1,IF($O30:$DM30,1),0))),"",INDEX($O$2:$DA$2,1,MATCH(1,IF($O30:$DM30,1),0)))</f>
        <v>41421</v>
      </c>
      <c r="M30" s="55">
        <f t="shared" si="1"/>
        <v>41421</v>
      </c>
      <c r="N30" s="56">
        <f t="shared" si="3"/>
        <v>1</v>
      </c>
      <c r="O30" s="51"/>
      <c r="P30" s="51"/>
      <c r="Q30" s="51"/>
      <c r="R30" s="51"/>
      <c r="S30" s="51"/>
      <c r="T30" s="51"/>
      <c r="U30" s="51">
        <v>1</v>
      </c>
      <c r="V30" s="51" t="s">
        <v>113</v>
      </c>
      <c r="W30" s="51" t="s">
        <v>113</v>
      </c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/>
      <c r="G31" s="45">
        <v>41414</v>
      </c>
      <c r="H31" s="45">
        <v>41421</v>
      </c>
      <c r="I31" s="43">
        <v>10</v>
      </c>
      <c r="J31" s="43">
        <v>2</v>
      </c>
      <c r="K31" s="3">
        <v>5</v>
      </c>
      <c r="L31" s="55">
        <f t="array" ref="L31">IF(ISNA(INDEX($O$2:$DA$2,1,MATCH(1,IF($O31:$DM31,1),0))),"",INDEX($O$2:$DA$2,1,MATCH(1,IF($O31:$DM31,1),0)))</f>
        <v>41407</v>
      </c>
      <c r="M31" s="55">
        <f t="shared" si="1"/>
        <v>41414</v>
      </c>
      <c r="N31" s="56">
        <f t="shared" si="3"/>
        <v>4.5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>
        <v>0.75</v>
      </c>
      <c r="T31" s="51">
        <f>1.25+1.5+1</f>
        <v>3.75</v>
      </c>
      <c r="U31" s="51" t="s">
        <v>113</v>
      </c>
      <c r="V31" s="51" t="str">
        <f t="shared" ref="S31:W32" si="9">IF(ISNUMBER(U31)," ",IF(U31="X","X"," "))</f>
        <v>X</v>
      </c>
      <c r="W31" s="51" t="str">
        <f t="shared" si="9"/>
        <v>X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/>
      <c r="G32" s="45">
        <v>41414</v>
      </c>
      <c r="H32" s="45">
        <v>41428</v>
      </c>
      <c r="I32" s="43">
        <v>10</v>
      </c>
      <c r="J32" s="43">
        <v>2</v>
      </c>
      <c r="K32" s="3">
        <v>8</v>
      </c>
      <c r="L32" s="55">
        <f t="array" ref="L32">IF(ISNA(INDEX($O$2:$DA$2,1,MATCH(1,IF($O32:$DM32,1),0))),"",INDEX($O$2:$DA$2,1,MATCH(1,IF($O32:$DM32,1),0)))</f>
        <v>41414</v>
      </c>
      <c r="M32" s="55">
        <f t="shared" si="1"/>
        <v>41421</v>
      </c>
      <c r="N32" s="56">
        <f t="shared" si="3"/>
        <v>1.25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>
        <f>0.75</f>
        <v>0.75</v>
      </c>
      <c r="U32" s="51">
        <v>0.5</v>
      </c>
      <c r="V32" s="51" t="s">
        <v>112</v>
      </c>
      <c r="W32" s="51" t="str">
        <f t="shared" si="9"/>
        <v>X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x14ac:dyDescent="0.2">
      <c r="A33" s="18"/>
      <c r="B33" s="4">
        <v>31</v>
      </c>
      <c r="C33" s="68" t="s">
        <v>79</v>
      </c>
      <c r="D33" s="68" t="s">
        <v>126</v>
      </c>
      <c r="E33" s="68" t="s">
        <v>124</v>
      </c>
      <c r="F33" s="89"/>
      <c r="G33" s="45">
        <v>41421</v>
      </c>
      <c r="H33" s="45">
        <v>41428</v>
      </c>
      <c r="I33" s="46"/>
      <c r="J33" s="43">
        <v>1</v>
      </c>
      <c r="K33" s="3">
        <v>5</v>
      </c>
      <c r="L33" s="55">
        <f t="array" ref="L33">IF(ISNA(INDEX($O$2:$DA$2,1,MATCH(1,IF($O33:$DM33,1),0))),"",INDEX($O$2:$DA$2,1,MATCH(1,IF($O33:$DM33,1),0)))</f>
        <v>41414</v>
      </c>
      <c r="M33" s="55">
        <f t="shared" ref="M33:M34" si="11">IF(ISNA(MATCH("X",O33:W33,0)),"",INDEX($O$2:$X$2,1,MATCH("X",O33:W33,0)-1))</f>
        <v>41421</v>
      </c>
      <c r="N33" s="56">
        <f t="shared" ref="N33:N34" si="12">SUM(O33:CG33)</f>
        <v>4.5</v>
      </c>
      <c r="O33" s="51"/>
      <c r="P33" s="51"/>
      <c r="Q33" s="51"/>
      <c r="R33" s="51"/>
      <c r="S33" s="51"/>
      <c r="T33" s="51">
        <v>1.5</v>
      </c>
      <c r="U33" s="51">
        <f>0.75 + 1+0.5+0.75</f>
        <v>3</v>
      </c>
      <c r="V33" s="51" t="s">
        <v>112</v>
      </c>
      <c r="W33" s="51" t="s">
        <v>112</v>
      </c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x14ac:dyDescent="0.2">
      <c r="A34" s="18"/>
      <c r="B34" s="4">
        <v>32</v>
      </c>
      <c r="C34" s="68" t="s">
        <v>79</v>
      </c>
      <c r="D34" s="68" t="s">
        <v>126</v>
      </c>
      <c r="E34" s="68" t="s">
        <v>125</v>
      </c>
      <c r="F34" s="89"/>
      <c r="G34" s="45">
        <v>41421</v>
      </c>
      <c r="H34" s="45">
        <v>41428</v>
      </c>
      <c r="I34" s="43"/>
      <c r="J34" s="43">
        <v>1</v>
      </c>
      <c r="K34" s="3">
        <v>5</v>
      </c>
      <c r="L34" s="55">
        <f t="array" ref="L34">IF(ISNA(INDEX($O$2:$DA$2,1,MATCH(1,IF($O34:$DM34,1),0))),"",INDEX($O$2:$DA$2,1,MATCH(1,IF($O34:$DM34,1),0)))</f>
        <v>41414</v>
      </c>
      <c r="M34" s="55">
        <f t="shared" si="11"/>
        <v>41421</v>
      </c>
      <c r="N34" s="56">
        <f t="shared" si="12"/>
        <v>3.75</v>
      </c>
      <c r="O34" s="51"/>
      <c r="P34" s="51"/>
      <c r="Q34" s="51"/>
      <c r="R34" s="51"/>
      <c r="S34" s="51"/>
      <c r="T34" s="51">
        <v>2.75</v>
      </c>
      <c r="U34" s="51">
        <v>1</v>
      </c>
      <c r="V34" s="51" t="s">
        <v>113</v>
      </c>
      <c r="W34" s="51" t="s">
        <v>113</v>
      </c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8" t="s">
        <v>79</v>
      </c>
      <c r="D35" s="68" t="s">
        <v>100</v>
      </c>
      <c r="E35" s="68" t="s">
        <v>75</v>
      </c>
      <c r="F35" s="89"/>
      <c r="G35" s="45">
        <v>41407</v>
      </c>
      <c r="H35" s="45">
        <v>41414</v>
      </c>
      <c r="I35" s="43">
        <v>10</v>
      </c>
      <c r="J35" s="43">
        <v>1</v>
      </c>
      <c r="K35" s="3">
        <v>10</v>
      </c>
      <c r="L35" s="55">
        <f t="array" ref="L35">IF(ISNA(INDEX($O$2:$DA$2,1,MATCH(1,IF($O33:$DM33,1),0))),"",INDEX($O$2:$DA$2,1,MATCH(1,IF($O33:$DM33,1),0)))</f>
        <v>41414</v>
      </c>
      <c r="M35" s="55">
        <f t="shared" ref="M35:M47" si="13">IF(ISNA(MATCH("X",O35:W35,0)),"",INDEX($O$2:$X$2,1,MATCH("X",O35:W35,0)-1))</f>
        <v>41414</v>
      </c>
      <c r="N35" s="56">
        <f t="shared" ref="N35:N59" si="14">SUM(O35:CG35)</f>
        <v>3.75</v>
      </c>
      <c r="O35" s="51"/>
      <c r="P35" s="51" t="str">
        <f t="shared" ref="P35:R35" si="15">IF(ISNUMBER(O35)," ",IF(O35="X","X"," "))</f>
        <v xml:space="preserve"> </v>
      </c>
      <c r="Q35" s="51" t="str">
        <f t="shared" si="15"/>
        <v xml:space="preserve"> </v>
      </c>
      <c r="R35" s="51" t="str">
        <f t="shared" si="15"/>
        <v xml:space="preserve"> </v>
      </c>
      <c r="S35" s="51">
        <f>1.25+1+0.5</f>
        <v>2.75</v>
      </c>
      <c r="T35" s="51">
        <f>1</f>
        <v>1</v>
      </c>
      <c r="U35" s="51" t="s">
        <v>113</v>
      </c>
      <c r="V35" s="51" t="str">
        <f t="shared" ref="S35:W39" si="16">IF(ISNUMBER(U35)," ",IF(U35="X","X"," "))</f>
        <v>X</v>
      </c>
      <c r="W35" s="51" t="str">
        <f t="shared" si="16"/>
        <v>X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8" t="s">
        <v>79</v>
      </c>
      <c r="D36" s="68" t="s">
        <v>100</v>
      </c>
      <c r="E36" s="68" t="s">
        <v>76</v>
      </c>
      <c r="F36" s="89"/>
      <c r="G36" s="45">
        <v>41414</v>
      </c>
      <c r="H36" s="45">
        <v>41421</v>
      </c>
      <c r="I36" s="43">
        <v>31</v>
      </c>
      <c r="J36" s="43">
        <v>1.5</v>
      </c>
      <c r="K36" s="3">
        <v>0</v>
      </c>
      <c r="L36" s="55">
        <f t="array" ref="L36">IF(ISNA(INDEX($O$2:$DA$2,1,MATCH(1,IF($O34:$DM34,1),0))),"",INDEX($O$2:$DA$2,1,MATCH(1,IF($O34:$DM34,1),0)))</f>
        <v>41414</v>
      </c>
      <c r="M36" s="55">
        <f t="shared" si="13"/>
        <v>41414</v>
      </c>
      <c r="N36" s="56">
        <f t="shared" si="14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16"/>
        <v xml:space="preserve"> </v>
      </c>
      <c r="T36" s="51">
        <v>0</v>
      </c>
      <c r="U36" s="51" t="s">
        <v>113</v>
      </c>
      <c r="V36" s="51" t="str">
        <f t="shared" si="16"/>
        <v>X</v>
      </c>
      <c r="W36" s="51" t="str">
        <f t="shared" si="16"/>
        <v>X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8" t="s">
        <v>79</v>
      </c>
      <c r="D37" s="68" t="s">
        <v>100</v>
      </c>
      <c r="E37" s="68" t="s">
        <v>77</v>
      </c>
      <c r="F37" s="89"/>
      <c r="G37" s="45">
        <v>41414</v>
      </c>
      <c r="H37" s="45">
        <v>41421</v>
      </c>
      <c r="I37" s="43">
        <v>32</v>
      </c>
      <c r="J37" s="43">
        <v>1</v>
      </c>
      <c r="K37" s="3">
        <v>3</v>
      </c>
      <c r="L37" s="55">
        <f t="array" ref="L37">IF(ISNA(INDEX($O$2:$DA$2,1,MATCH(1,IF($O35:$DM35,1),0))),"",INDEX($O$2:$DA$2,1,MATCH(1,IF($O35:$DM35,1),0)))</f>
        <v>41407</v>
      </c>
      <c r="M37" s="55">
        <f t="shared" si="13"/>
        <v>41421</v>
      </c>
      <c r="N37" s="56">
        <f t="shared" ref="N37:N58" si="18">SUM(O37:CG37)</f>
        <v>2.75</v>
      </c>
      <c r="O37" s="51"/>
      <c r="P37" s="51" t="str">
        <f t="shared" ref="P37:R37" si="19">IF(ISNUMBER(O37)," ",IF(O37="X","X"," "))</f>
        <v xml:space="preserve"> </v>
      </c>
      <c r="Q37" s="51" t="str">
        <f t="shared" si="19"/>
        <v xml:space="preserve"> </v>
      </c>
      <c r="R37" s="51" t="str">
        <f t="shared" si="19"/>
        <v xml:space="preserve"> </v>
      </c>
      <c r="S37" s="51" t="str">
        <f t="shared" si="16"/>
        <v xml:space="preserve"> </v>
      </c>
      <c r="T37" s="51">
        <f>1.25</f>
        <v>1.25</v>
      </c>
      <c r="U37" s="51">
        <v>1.5</v>
      </c>
      <c r="V37" s="51" t="s">
        <v>113</v>
      </c>
      <c r="W37" s="51" t="str">
        <f t="shared" si="16"/>
        <v>X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>
        <v>36</v>
      </c>
      <c r="C38" s="68" t="s">
        <v>79</v>
      </c>
      <c r="D38" s="68" t="s">
        <v>101</v>
      </c>
      <c r="E38" s="68" t="s">
        <v>123</v>
      </c>
      <c r="F38" s="89"/>
      <c r="G38" s="45">
        <v>41421</v>
      </c>
      <c r="H38" s="45">
        <v>41428</v>
      </c>
      <c r="I38" s="43">
        <v>33</v>
      </c>
      <c r="J38" s="43">
        <v>2</v>
      </c>
      <c r="K38" s="3">
        <v>5</v>
      </c>
      <c r="L38" s="55" t="str">
        <f t="array" ref="L38">IF(ISNA(INDEX($O$2:$DA$2,1,MATCH(1,IF($O36:$DM36,1),0))),"",INDEX($O$2:$DA$2,1,MATCH(1,IF($O36:$DM36,1),0)))</f>
        <v/>
      </c>
      <c r="M38" s="55" t="str">
        <f t="shared" si="13"/>
        <v/>
      </c>
      <c r="N38" s="56">
        <f t="shared" si="18"/>
        <v>1.65</v>
      </c>
      <c r="O38" s="51"/>
      <c r="P38" s="51" t="str">
        <f t="shared" ref="P38:R38" si="20">IF(ISNUMBER(O38)," ",IF(O38="X","X"," "))</f>
        <v xml:space="preserve"> </v>
      </c>
      <c r="Q38" s="51" t="str">
        <f t="shared" si="20"/>
        <v xml:space="preserve"> </v>
      </c>
      <c r="R38" s="51" t="str">
        <f t="shared" si="20"/>
        <v xml:space="preserve"> </v>
      </c>
      <c r="S38" s="51" t="str">
        <f t="shared" si="16"/>
        <v xml:space="preserve"> </v>
      </c>
      <c r="T38" s="51" t="str">
        <f t="shared" si="16"/>
        <v xml:space="preserve"> </v>
      </c>
      <c r="U38" s="51">
        <f>1.15+0.5</f>
        <v>1.65</v>
      </c>
      <c r="V38" s="51" t="str">
        <f t="shared" si="16"/>
        <v xml:space="preserve"> </v>
      </c>
      <c r="W38" s="51" t="str">
        <f t="shared" si="16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>
        <v>37</v>
      </c>
      <c r="C39" s="68" t="s">
        <v>79</v>
      </c>
      <c r="D39" s="68" t="s">
        <v>101</v>
      </c>
      <c r="E39" s="68" t="s">
        <v>102</v>
      </c>
      <c r="F39" s="89"/>
      <c r="G39" s="45">
        <v>41421</v>
      </c>
      <c r="H39" s="45">
        <v>41428</v>
      </c>
      <c r="I39" s="43">
        <v>33</v>
      </c>
      <c r="J39" s="43">
        <v>2</v>
      </c>
      <c r="K39" s="3">
        <v>5</v>
      </c>
      <c r="L39" s="55">
        <f t="array" ref="L39">IF(ISNA(INDEX($O$2:$DA$2,1,MATCH(1,IF($O37:$DM37,1),0))),"",INDEX($O$2:$DA$2,1,MATCH(1,IF($O37:$DM37,1),0)))</f>
        <v>41414</v>
      </c>
      <c r="M39" s="55" t="str">
        <f t="shared" si="13"/>
        <v/>
      </c>
      <c r="N39" s="56">
        <f t="shared" si="14"/>
        <v>1.75</v>
      </c>
      <c r="O39" s="51"/>
      <c r="P39" s="51" t="str">
        <f t="shared" ref="P39:R39" si="21">IF(ISNUMBER(O39)," ",IF(O39="X","X"," "))</f>
        <v xml:space="preserve"> </v>
      </c>
      <c r="Q39" s="51" t="str">
        <f t="shared" si="21"/>
        <v xml:space="preserve"> </v>
      </c>
      <c r="R39" s="51" t="str">
        <f t="shared" si="21"/>
        <v xml:space="preserve"> </v>
      </c>
      <c r="S39" s="51" t="str">
        <f t="shared" si="16"/>
        <v xml:space="preserve"> </v>
      </c>
      <c r="T39" s="51" t="str">
        <f t="shared" si="16"/>
        <v xml:space="preserve"> </v>
      </c>
      <c r="U39" s="51">
        <f>0.75+1</f>
        <v>1.75</v>
      </c>
      <c r="V39" s="51" t="str">
        <f t="shared" si="16"/>
        <v xml:space="preserve"> </v>
      </c>
      <c r="W39" s="51" t="str">
        <f t="shared" si="16"/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4">
        <v>38</v>
      </c>
      <c r="C40" s="68" t="s">
        <v>114</v>
      </c>
      <c r="D40" s="68" t="s">
        <v>115</v>
      </c>
      <c r="E40" s="68"/>
      <c r="F40" s="17"/>
      <c r="G40" s="45">
        <v>41372</v>
      </c>
      <c r="H40" s="45">
        <v>41379</v>
      </c>
      <c r="I40" s="46"/>
      <c r="J40" s="43">
        <v>1</v>
      </c>
      <c r="K40" s="3">
        <v>5</v>
      </c>
      <c r="L40" s="55">
        <f t="array" ref="L40">IF(ISNA(INDEX($O$2:$DA$2,1,MATCH(1,IF($O38:$DM38,1),0))),"",INDEX($O$2:$DA$2,1,MATCH(1,IF($O38:$DM38,1),0)))</f>
        <v>41421</v>
      </c>
      <c r="M40" s="55">
        <f t="shared" si="13"/>
        <v>41372</v>
      </c>
      <c r="N40" s="56">
        <f t="shared" si="14"/>
        <v>1.75</v>
      </c>
      <c r="O40" s="51">
        <f>1+0.75</f>
        <v>1.75</v>
      </c>
      <c r="P40" s="51" t="s">
        <v>113</v>
      </c>
      <c r="Q40" s="51" t="str">
        <f t="shared" ref="Q40:R40" si="22">IF(ISNUMBER(P40)," ",IF(P40="X","X"," "))</f>
        <v>X</v>
      </c>
      <c r="R40" s="51" t="str">
        <f t="shared" si="22"/>
        <v>X</v>
      </c>
      <c r="S40" s="51" t="str">
        <f t="shared" ref="S40:V50" si="23">IF(ISNUMBER(R40)," ",IF(R40="X","X"," "))</f>
        <v>X</v>
      </c>
      <c r="T40" s="51" t="str">
        <f t="shared" si="23"/>
        <v>X</v>
      </c>
      <c r="U40" s="51" t="str">
        <f t="shared" si="23"/>
        <v>X</v>
      </c>
      <c r="V40" s="51" t="str">
        <f t="shared" si="23"/>
        <v>X</v>
      </c>
      <c r="W40" s="51"/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4">
        <v>39</v>
      </c>
      <c r="C41" s="68" t="s">
        <v>114</v>
      </c>
      <c r="D41" s="68" t="s">
        <v>116</v>
      </c>
      <c r="E41" s="4"/>
      <c r="F41" s="17"/>
      <c r="G41" s="45">
        <v>41379</v>
      </c>
      <c r="H41" s="45">
        <v>41386</v>
      </c>
      <c r="I41" s="43">
        <v>38</v>
      </c>
      <c r="J41" s="43">
        <v>1</v>
      </c>
      <c r="K41" s="3">
        <v>5</v>
      </c>
      <c r="L41" s="55">
        <f t="array" ref="L41">IF(ISNA(INDEX($O$2:$DA$2,1,MATCH(1,IF($O39:$DM39,1),0))),"",INDEX($O$2:$DA$2,1,MATCH(1,IF($O39:$DM39,1),0)))</f>
        <v>41421</v>
      </c>
      <c r="M41" s="55">
        <f t="shared" si="13"/>
        <v>41379</v>
      </c>
      <c r="N41" s="56">
        <f t="shared" si="18"/>
        <v>1.75</v>
      </c>
      <c r="O41" s="51"/>
      <c r="P41" s="51">
        <f>0.25+0.5+0.75+0.25</f>
        <v>1.75</v>
      </c>
      <c r="Q41" s="51" t="s">
        <v>113</v>
      </c>
      <c r="R41" s="51" t="str">
        <f t="shared" ref="R41" si="24">IF(ISNUMBER(Q41)," ",IF(Q41="X","X"," "))</f>
        <v>X</v>
      </c>
      <c r="S41" s="51" t="str">
        <f t="shared" si="23"/>
        <v>X</v>
      </c>
      <c r="T41" s="51" t="str">
        <f t="shared" si="23"/>
        <v>X</v>
      </c>
      <c r="U41" s="51" t="str">
        <f t="shared" si="23"/>
        <v>X</v>
      </c>
      <c r="V41" s="51" t="str">
        <f t="shared" si="23"/>
        <v>X</v>
      </c>
      <c r="W41" s="51"/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x14ac:dyDescent="0.2">
      <c r="A42" s="18"/>
      <c r="B42" s="4">
        <v>40</v>
      </c>
      <c r="C42" s="68" t="s">
        <v>114</v>
      </c>
      <c r="D42" s="68" t="s">
        <v>117</v>
      </c>
      <c r="E42" s="68"/>
      <c r="F42" s="17"/>
      <c r="G42" s="45">
        <v>41386</v>
      </c>
      <c r="H42" s="45">
        <v>41393</v>
      </c>
      <c r="I42" s="43">
        <v>39</v>
      </c>
      <c r="J42" s="43">
        <v>1</v>
      </c>
      <c r="K42" s="3">
        <v>5</v>
      </c>
      <c r="L42" s="55">
        <f t="array" ref="L42">IF(ISNA(INDEX($O$2:$DA$2,1,MATCH(1,IF($O40:$DM40,1),0))),"",INDEX($O$2:$DA$2,1,MATCH(1,IF($O40:$DM40,1),0)))</f>
        <v>41372</v>
      </c>
      <c r="M42" s="55">
        <f t="shared" si="13"/>
        <v>41386</v>
      </c>
      <c r="N42" s="56">
        <f t="shared" si="18"/>
        <v>2.5</v>
      </c>
      <c r="O42" s="51"/>
      <c r="P42" s="51" t="str">
        <f t="shared" ref="P42" si="25">IF(ISNUMBER(O42)," ",IF(O42="X","X"," "))</f>
        <v xml:space="preserve"> </v>
      </c>
      <c r="Q42" s="51">
        <f>1+0.5+0.5+0.25+0.25</f>
        <v>2.5</v>
      </c>
      <c r="R42" s="51" t="s">
        <v>113</v>
      </c>
      <c r="S42" s="51" t="str">
        <f t="shared" si="23"/>
        <v>X</v>
      </c>
      <c r="T42" s="51" t="str">
        <f t="shared" si="23"/>
        <v>X</v>
      </c>
      <c r="U42" s="51" t="str">
        <f t="shared" si="23"/>
        <v>X</v>
      </c>
      <c r="V42" s="51" t="str">
        <f t="shared" si="23"/>
        <v>X</v>
      </c>
      <c r="W42" s="51"/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4">
        <v>41</v>
      </c>
      <c r="C43" s="68" t="s">
        <v>114</v>
      </c>
      <c r="D43" s="68" t="s">
        <v>118</v>
      </c>
      <c r="E43" s="4"/>
      <c r="F43" s="17"/>
      <c r="G43" s="45">
        <v>41393</v>
      </c>
      <c r="H43" s="45">
        <v>41400</v>
      </c>
      <c r="I43" s="43">
        <v>40</v>
      </c>
      <c r="J43" s="43">
        <v>1</v>
      </c>
      <c r="K43" s="3">
        <v>5</v>
      </c>
      <c r="L43" s="55">
        <f t="array" ref="L43">IF(ISNA(INDEX($O$2:$DA$2,1,MATCH(1,IF($O41:$DM41,1),0))),"",INDEX($O$2:$DA$2,1,MATCH(1,IF($O41:$DM41,1),0)))</f>
        <v>41379</v>
      </c>
      <c r="M43" s="55">
        <f t="shared" si="13"/>
        <v>41393</v>
      </c>
      <c r="N43" s="56">
        <f t="shared" si="14"/>
        <v>3.5</v>
      </c>
      <c r="O43" s="51"/>
      <c r="P43" s="51" t="str">
        <f t="shared" ref="P43:Q50" si="26">IF(ISNUMBER(O43)," ",IF(O43="X","X"," "))</f>
        <v xml:space="preserve"> </v>
      </c>
      <c r="Q43" s="51" t="str">
        <f t="shared" si="26"/>
        <v xml:space="preserve"> </v>
      </c>
      <c r="R43" s="51">
        <f>0.25+0.25+0.25+1.5+0.5+0.25+0.5</f>
        <v>3.5</v>
      </c>
      <c r="S43" s="51" t="s">
        <v>112</v>
      </c>
      <c r="T43" s="51" t="str">
        <f t="shared" si="23"/>
        <v>X</v>
      </c>
      <c r="U43" s="51" t="str">
        <f t="shared" si="23"/>
        <v>X</v>
      </c>
      <c r="V43" s="51" t="str">
        <f t="shared" si="23"/>
        <v>X</v>
      </c>
      <c r="W43" s="51" t="str">
        <f t="shared" ref="W43:W50" si="27">IF(ISNUMBER(V43)," ",IF(V43="X","X"," "))</f>
        <v>X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4">
        <v>42</v>
      </c>
      <c r="C44" s="68" t="s">
        <v>114</v>
      </c>
      <c r="D44" s="68" t="s">
        <v>119</v>
      </c>
      <c r="E44" s="68"/>
      <c r="F44" s="17"/>
      <c r="G44" s="45">
        <v>41400</v>
      </c>
      <c r="H44" s="45">
        <v>41407</v>
      </c>
      <c r="I44" s="43">
        <v>41</v>
      </c>
      <c r="J44" s="43">
        <v>1</v>
      </c>
      <c r="K44" s="3">
        <v>0</v>
      </c>
      <c r="L44" s="55">
        <f t="array" ref="L44">IF(ISNA(INDEX($O$2:$DA$2,1,MATCH(1,IF($O42:$DM42,1),0))),"",INDEX($O$2:$DA$2,1,MATCH(1,IF($O42:$DM42,1),0)))</f>
        <v>41386</v>
      </c>
      <c r="M44" s="55" t="str">
        <f t="shared" si="13"/>
        <v/>
      </c>
      <c r="N44" s="56">
        <f t="shared" si="14"/>
        <v>0</v>
      </c>
      <c r="O44" s="51"/>
      <c r="P44" s="51" t="str">
        <f t="shared" si="26"/>
        <v xml:space="preserve"> </v>
      </c>
      <c r="Q44" s="51" t="str">
        <f t="shared" si="26"/>
        <v xml:space="preserve"> </v>
      </c>
      <c r="R44" s="51" t="str">
        <f t="shared" ref="R44:R50" si="28">IF(ISNUMBER(Q44)," ",IF(Q44="X","X"," "))</f>
        <v xml:space="preserve"> </v>
      </c>
      <c r="S44" s="51" t="str">
        <f t="shared" si="23"/>
        <v xml:space="preserve"> </v>
      </c>
      <c r="T44" s="51" t="str">
        <f t="shared" si="23"/>
        <v xml:space="preserve"> </v>
      </c>
      <c r="U44" s="51" t="str">
        <f t="shared" si="23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4">
        <v>43</v>
      </c>
      <c r="C45" s="68" t="s">
        <v>114</v>
      </c>
      <c r="D45" s="68" t="s">
        <v>120</v>
      </c>
      <c r="E45" s="4"/>
      <c r="F45" s="17"/>
      <c r="G45" s="45">
        <v>41407</v>
      </c>
      <c r="H45" s="45">
        <v>41414</v>
      </c>
      <c r="I45" s="43">
        <v>42</v>
      </c>
      <c r="J45" s="43">
        <v>1</v>
      </c>
      <c r="K45" s="3">
        <v>3.5</v>
      </c>
      <c r="L45" s="55">
        <f t="array" ref="L45">IF(ISNA(INDEX($O$2:$DA$2,1,MATCH(1,IF($O43:$DM43,1),0))),"",INDEX($O$2:$DA$2,1,MATCH(1,IF($O43:$DM43,1),0)))</f>
        <v>41393</v>
      </c>
      <c r="M45" s="55">
        <f t="shared" si="13"/>
        <v>41407</v>
      </c>
      <c r="N45" s="56">
        <f t="shared" si="18"/>
        <v>2.5</v>
      </c>
      <c r="O45" s="51"/>
      <c r="P45" s="51" t="str">
        <f t="shared" si="26"/>
        <v xml:space="preserve"> </v>
      </c>
      <c r="Q45" s="51" t="str">
        <f t="shared" si="26"/>
        <v xml:space="preserve"> </v>
      </c>
      <c r="R45" s="51" t="str">
        <f t="shared" si="28"/>
        <v xml:space="preserve"> </v>
      </c>
      <c r="S45" s="51">
        <f>0.5+0.5+0.25+0.25+0.5+0.25+0.25</f>
        <v>2.5</v>
      </c>
      <c r="T45" s="51" t="s">
        <v>112</v>
      </c>
      <c r="U45" s="51" t="str">
        <f t="shared" si="23"/>
        <v>X</v>
      </c>
      <c r="V45" s="51" t="str">
        <f t="shared" si="23"/>
        <v>X</v>
      </c>
      <c r="W45" s="51" t="str">
        <f t="shared" si="27"/>
        <v>X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4">
        <v>44</v>
      </c>
      <c r="C46" s="68" t="s">
        <v>114</v>
      </c>
      <c r="D46" s="68" t="s">
        <v>121</v>
      </c>
      <c r="E46" s="68"/>
      <c r="F46" s="17"/>
      <c r="G46" s="45">
        <v>41414</v>
      </c>
      <c r="H46" s="45">
        <v>41421</v>
      </c>
      <c r="I46" s="43">
        <v>43</v>
      </c>
      <c r="J46" s="43">
        <v>1</v>
      </c>
      <c r="K46" s="3">
        <v>3.5</v>
      </c>
      <c r="L46" s="55" t="str">
        <f t="array" ref="L46">IF(ISNA(INDEX($O$2:$DA$2,1,MATCH(1,IF($O44:$DM44,1),0))),"",INDEX($O$2:$DA$2,1,MATCH(1,IF($O44:$DM44,1),0)))</f>
        <v/>
      </c>
      <c r="M46" s="55">
        <f t="shared" si="13"/>
        <v>41414</v>
      </c>
      <c r="N46" s="56">
        <f t="shared" si="18"/>
        <v>2.75</v>
      </c>
      <c r="O46" s="51"/>
      <c r="P46" s="51" t="str">
        <f t="shared" si="26"/>
        <v xml:space="preserve"> </v>
      </c>
      <c r="Q46" s="51" t="str">
        <f t="shared" si="26"/>
        <v xml:space="preserve"> </v>
      </c>
      <c r="R46" s="51" t="str">
        <f t="shared" si="28"/>
        <v xml:space="preserve"> </v>
      </c>
      <c r="S46" s="51" t="str">
        <f t="shared" si="23"/>
        <v xml:space="preserve"> </v>
      </c>
      <c r="T46" s="51">
        <f>0.25+1+0.5+0.5+0.5</f>
        <v>2.75</v>
      </c>
      <c r="U46" s="51" t="s">
        <v>112</v>
      </c>
      <c r="V46" s="51" t="str">
        <f t="shared" si="23"/>
        <v>X</v>
      </c>
      <c r="W46" s="51" t="str">
        <f t="shared" si="27"/>
        <v>X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ht="12.75" customHeight="1" x14ac:dyDescent="0.2">
      <c r="A47" s="18"/>
      <c r="B47" s="4">
        <v>45</v>
      </c>
      <c r="C47" s="68" t="s">
        <v>114</v>
      </c>
      <c r="D47" s="68" t="s">
        <v>122</v>
      </c>
      <c r="E47" s="4"/>
      <c r="F47" s="17"/>
      <c r="G47" s="45">
        <v>41421</v>
      </c>
      <c r="H47" s="45">
        <v>41428</v>
      </c>
      <c r="I47" s="43">
        <v>44</v>
      </c>
      <c r="J47" s="43">
        <v>1</v>
      </c>
      <c r="K47" s="3">
        <v>3.5</v>
      </c>
      <c r="L47" s="55">
        <f t="array" ref="L47">IF(ISNA(INDEX($O$2:$DA$2,1,MATCH(1,IF($O45:$DM45,1),0))),"",INDEX($O$2:$DA$2,1,MATCH(1,IF($O45:$DM45,1),0)))</f>
        <v>41407</v>
      </c>
      <c r="M47" s="55" t="str">
        <f t="shared" si="13"/>
        <v/>
      </c>
      <c r="N47" s="56">
        <f t="shared" si="14"/>
        <v>0.5</v>
      </c>
      <c r="O47" s="51"/>
      <c r="P47" s="51" t="str">
        <f t="shared" si="26"/>
        <v xml:space="preserve"> </v>
      </c>
      <c r="Q47" s="51" t="str">
        <f t="shared" si="26"/>
        <v xml:space="preserve"> </v>
      </c>
      <c r="R47" s="51" t="str">
        <f t="shared" si="28"/>
        <v xml:space="preserve"> </v>
      </c>
      <c r="S47" s="51"/>
      <c r="T47" s="51" t="str">
        <f t="shared" si="23"/>
        <v xml:space="preserve"> </v>
      </c>
      <c r="U47" s="51">
        <f>0.25+0.25</f>
        <v>0.5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4">
        <v>46</v>
      </c>
      <c r="C48" s="68" t="s">
        <v>127</v>
      </c>
      <c r="D48" s="68" t="s">
        <v>128</v>
      </c>
      <c r="E48" s="68"/>
      <c r="F48" s="17" t="s">
        <v>131</v>
      </c>
      <c r="G48" s="45">
        <v>41407</v>
      </c>
      <c r="H48" s="45">
        <v>41414</v>
      </c>
      <c r="I48" s="43"/>
      <c r="J48" s="43"/>
      <c r="K48" s="3">
        <v>1</v>
      </c>
      <c r="L48" s="55">
        <f t="array" ref="L48">IF(ISNA(INDEX($O$2:$DA$2,1,MATCH(1,IF($O48:$DM48,1),0))),"",INDEX($O$2:$DA$2,1,MATCH(1,IF($O48:$DM48,1),0)))</f>
        <v>41407</v>
      </c>
      <c r="M48" s="55">
        <f t="shared" ref="M48:M52" si="29">IF(ISNA(MATCH("X",O48:W48,0)),"",INDEX($O$2:$X$2,1,MATCH("X",O48:W48,0)-1))</f>
        <v>41407</v>
      </c>
      <c r="N48" s="56">
        <f t="shared" si="14"/>
        <v>1</v>
      </c>
      <c r="O48" s="51"/>
      <c r="P48" s="51" t="str">
        <f t="shared" si="26"/>
        <v xml:space="preserve"> </v>
      </c>
      <c r="Q48" s="51" t="str">
        <f t="shared" si="26"/>
        <v xml:space="preserve"> </v>
      </c>
      <c r="R48" s="51" t="str">
        <f t="shared" si="28"/>
        <v xml:space="preserve"> </v>
      </c>
      <c r="S48" s="51">
        <f>0.75+0.25</f>
        <v>1</v>
      </c>
      <c r="T48" s="51" t="s">
        <v>112</v>
      </c>
      <c r="U48" s="51" t="str">
        <f t="shared" si="23"/>
        <v>X</v>
      </c>
      <c r="V48" s="51" t="str">
        <f t="shared" si="23"/>
        <v>X</v>
      </c>
      <c r="W48" s="51" t="str">
        <f t="shared" si="27"/>
        <v>X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12.75" customHeight="1" x14ac:dyDescent="0.2">
      <c r="A49" s="18"/>
      <c r="B49" s="4">
        <v>47</v>
      </c>
      <c r="C49" s="68" t="s">
        <v>127</v>
      </c>
      <c r="D49" s="4" t="s">
        <v>129</v>
      </c>
      <c r="E49" s="4"/>
      <c r="F49" s="17"/>
      <c r="G49" s="45">
        <v>41414</v>
      </c>
      <c r="H49" s="45">
        <v>41421</v>
      </c>
      <c r="I49" s="43">
        <v>46</v>
      </c>
      <c r="J49" s="43"/>
      <c r="K49" s="3">
        <v>1</v>
      </c>
      <c r="L49" s="55">
        <f t="array" ref="L49">IF(ISNA(INDEX($O$2:$DA$2,1,MATCH(1,IF($O49:$DM49,1),0))),"",INDEX($O$2:$DA$2,1,MATCH(1,IF($O49:$DM49,1),0)))</f>
        <v>41414</v>
      </c>
      <c r="M49" s="55">
        <f t="shared" si="29"/>
        <v>41414</v>
      </c>
      <c r="N49" s="56">
        <f t="shared" si="18"/>
        <v>0.75</v>
      </c>
      <c r="O49" s="51"/>
      <c r="P49" s="51" t="str">
        <f t="shared" si="26"/>
        <v xml:space="preserve"> </v>
      </c>
      <c r="Q49" s="51" t="str">
        <f t="shared" si="26"/>
        <v xml:space="preserve"> </v>
      </c>
      <c r="R49" s="51" t="str">
        <f t="shared" si="28"/>
        <v xml:space="preserve"> </v>
      </c>
      <c r="S49" s="51"/>
      <c r="T49" s="51">
        <f>0.25+0.5</f>
        <v>0.75</v>
      </c>
      <c r="U49" s="51" t="s">
        <v>112</v>
      </c>
      <c r="V49" s="51" t="str">
        <f t="shared" si="23"/>
        <v>X</v>
      </c>
      <c r="W49" s="51" t="str">
        <f t="shared" si="27"/>
        <v>X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ht="12.75" customHeight="1" x14ac:dyDescent="0.2">
      <c r="A50" s="18"/>
      <c r="B50" s="4">
        <v>48</v>
      </c>
      <c r="C50" s="68" t="s">
        <v>127</v>
      </c>
      <c r="D50" s="68" t="s">
        <v>130</v>
      </c>
      <c r="E50" s="68"/>
      <c r="F50" s="17"/>
      <c r="G50" s="45">
        <v>41421</v>
      </c>
      <c r="H50" s="45">
        <v>41428</v>
      </c>
      <c r="I50" s="43">
        <v>47</v>
      </c>
      <c r="J50" s="43"/>
      <c r="K50" s="3">
        <v>1</v>
      </c>
      <c r="L50" s="55">
        <f t="array" ref="L50">IF(ISNA(INDEX($O$2:$DA$2,1,MATCH(1,IF($O50:$DM50,1),0))),"",INDEX($O$2:$DA$2,1,MATCH(1,IF($O50:$DM50,1),0)))</f>
        <v>41421</v>
      </c>
      <c r="M50" s="55" t="str">
        <f t="shared" si="29"/>
        <v/>
      </c>
      <c r="N50" s="56">
        <f t="shared" si="18"/>
        <v>0.65</v>
      </c>
      <c r="O50" s="51"/>
      <c r="P50" s="51" t="str">
        <f t="shared" si="26"/>
        <v xml:space="preserve"> </v>
      </c>
      <c r="Q50" s="51" t="str">
        <f t="shared" si="26"/>
        <v xml:space="preserve"> </v>
      </c>
      <c r="R50" s="51" t="str">
        <f t="shared" si="28"/>
        <v xml:space="preserve"> </v>
      </c>
      <c r="S50" s="51" t="str">
        <f t="shared" si="23"/>
        <v xml:space="preserve"> </v>
      </c>
      <c r="T50" s="51" t="str">
        <f t="shared" si="23"/>
        <v xml:space="preserve"> </v>
      </c>
      <c r="U50" s="51">
        <f>0.15+0.5</f>
        <v>0.65</v>
      </c>
      <c r="V50" s="51" t="str">
        <f t="shared" si="23"/>
        <v xml:space="preserve"> </v>
      </c>
      <c r="W50" s="51" t="str">
        <f t="shared" si="27"/>
        <v xml:space="preserve"> 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ht="12.75" customHeight="1" x14ac:dyDescent="0.2">
      <c r="A51" s="18"/>
      <c r="B51" s="4"/>
      <c r="C51" s="68"/>
      <c r="D51" s="4"/>
      <c r="E51" s="4"/>
      <c r="F51" s="17"/>
      <c r="G51" s="45"/>
      <c r="H51" s="45"/>
      <c r="I51" s="43"/>
      <c r="J51" s="43"/>
      <c r="K51" s="3"/>
      <c r="L51" s="55" t="str">
        <f t="array" ref="L51">IF(ISNA(INDEX($O$2:$DA$2,1,MATCH(1,IF($O51:$DM51,1),0))),"",INDEX($O$2:$DA$2,1,MATCH(1,IF($O51:$DM51,1),0)))</f>
        <v/>
      </c>
      <c r="M51" s="55" t="str">
        <f t="shared" si="29"/>
        <v/>
      </c>
      <c r="N51" s="56">
        <f t="shared" si="14"/>
        <v>0</v>
      </c>
      <c r="O51" s="51"/>
      <c r="P51" s="51" t="str">
        <f t="shared" ref="P51:P52" si="30">IF(ISNUMBER(O51)," ",IF(O51="X","X"," "))</f>
        <v xml:space="preserve"> </v>
      </c>
      <c r="Q51" s="51" t="str">
        <f t="shared" ref="Q51:Q52" si="31">IF(ISNUMBER(P51)," ",IF(P51="X","X"," "))</f>
        <v xml:space="preserve"> </v>
      </c>
      <c r="R51" s="51" t="str">
        <f t="shared" ref="R51:R52" si="32">IF(ISNUMBER(Q51)," ",IF(Q51="X","X"," "))</f>
        <v xml:space="preserve"> </v>
      </c>
      <c r="S51" s="51" t="str">
        <f t="shared" ref="S51:S52" si="33">IF(ISNUMBER(R51)," ",IF(R51="X","X"," "))</f>
        <v xml:space="preserve"> </v>
      </c>
      <c r="T51" s="51" t="str">
        <f t="shared" ref="T51:T52" si="34">IF(ISNUMBER(S51)," ",IF(S51="X","X"," "))</f>
        <v xml:space="preserve"> </v>
      </c>
      <c r="U51" s="51" t="str">
        <f t="shared" ref="U51:U52" si="35">IF(ISNUMBER(T51)," ",IF(T51="X","X"," "))</f>
        <v xml:space="preserve"> </v>
      </c>
      <c r="V51" s="51" t="str">
        <f t="shared" ref="V51:V52" si="36">IF(ISNUMBER(U51)," ",IF(U51="X","X"," "))</f>
        <v xml:space="preserve"> </v>
      </c>
      <c r="W51" s="51" t="str">
        <f t="shared" ref="W51:W52" si="37">IF(ISNUMBER(V51)," ",IF(V51="X","X"," "))</f>
        <v xml:space="preserve"> 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12.75" customHeight="1" x14ac:dyDescent="0.2">
      <c r="A52" s="18"/>
      <c r="B52" s="4"/>
      <c r="C52" s="68"/>
      <c r="D52" s="68"/>
      <c r="E52" s="68"/>
      <c r="F52" s="17"/>
      <c r="G52" s="45"/>
      <c r="H52" s="45"/>
      <c r="I52" s="43"/>
      <c r="J52" s="43"/>
      <c r="K52" s="3"/>
      <c r="L52" s="55" t="str">
        <f t="array" ref="L52">IF(ISNA(INDEX($O$2:$DA$2,1,MATCH(1,IF($O52:$DM52,1),0))),"",INDEX($O$2:$DA$2,1,MATCH(1,IF($O52:$DM52,1),0)))</f>
        <v/>
      </c>
      <c r="M52" s="55" t="str">
        <f t="shared" si="29"/>
        <v/>
      </c>
      <c r="N52" s="56">
        <f t="shared" si="14"/>
        <v>0</v>
      </c>
      <c r="O52" s="51"/>
      <c r="P52" s="51" t="str">
        <f t="shared" si="30"/>
        <v xml:space="preserve"> </v>
      </c>
      <c r="Q52" s="51" t="str">
        <f t="shared" si="31"/>
        <v xml:space="preserve"> </v>
      </c>
      <c r="R52" s="51" t="str">
        <f t="shared" si="32"/>
        <v xml:space="preserve"> </v>
      </c>
      <c r="S52" s="51" t="str">
        <f t="shared" si="33"/>
        <v xml:space="preserve"> </v>
      </c>
      <c r="T52" s="51" t="str">
        <f t="shared" si="34"/>
        <v xml:space="preserve"> </v>
      </c>
      <c r="U52" s="51" t="str">
        <f t="shared" si="35"/>
        <v xml:space="preserve"> </v>
      </c>
      <c r="V52" s="51" t="str">
        <f t="shared" si="36"/>
        <v xml:space="preserve"> </v>
      </c>
      <c r="W52" s="51" t="str">
        <f t="shared" si="37"/>
        <v xml:space="preserve"> 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ht="12.75" customHeight="1" x14ac:dyDescent="0.2">
      <c r="A53" s="18"/>
      <c r="B53" s="4"/>
      <c r="C53" s="68"/>
      <c r="D53" s="4"/>
      <c r="E53" s="4"/>
      <c r="F53" s="17"/>
      <c r="G53" s="45"/>
      <c r="H53" s="45"/>
      <c r="I53" s="43"/>
      <c r="J53" s="43"/>
      <c r="K53" s="3"/>
      <c r="L53" s="55" t="str">
        <f t="array" ref="L53">IF(ISNA(INDEX($O$2:$DA$2,1,MATCH(1,IF($O53:$DM53,1),0))),"",INDEX($O$2:$DA$2,1,MATCH(1,IF($O53:$DM53,1),0)))</f>
        <v/>
      </c>
      <c r="M53" s="55" t="str">
        <f t="shared" ref="M53:M55" si="38">IF(ISNA(MATCH("X",O53:W53,0)),"",INDEX($O$2:$X$2,1,MATCH("X",O53:W53,0)-1))</f>
        <v/>
      </c>
      <c r="N53" s="56">
        <f t="shared" si="18"/>
        <v>0</v>
      </c>
      <c r="O53" s="51"/>
      <c r="P53" s="51" t="str">
        <f t="shared" ref="P53:P55" si="39">IF(ISNUMBER(O53)," ",IF(O53="X","X"," "))</f>
        <v xml:space="preserve"> </v>
      </c>
      <c r="Q53" s="51" t="str">
        <f t="shared" ref="Q53:Q55" si="40">IF(ISNUMBER(P53)," ",IF(P53="X","X"," "))</f>
        <v xml:space="preserve"> </v>
      </c>
      <c r="R53" s="51" t="str">
        <f t="shared" ref="R53:R55" si="41">IF(ISNUMBER(Q53)," ",IF(Q53="X","X"," "))</f>
        <v xml:space="preserve"> </v>
      </c>
      <c r="S53" s="51" t="str">
        <f t="shared" ref="S53:S55" si="42">IF(ISNUMBER(R53)," ",IF(R53="X","X"," "))</f>
        <v xml:space="preserve"> </v>
      </c>
      <c r="T53" s="51" t="str">
        <f t="shared" ref="T53:T55" si="43">IF(ISNUMBER(S53)," ",IF(S53="X","X"," "))</f>
        <v xml:space="preserve"> </v>
      </c>
      <c r="U53" s="51" t="str">
        <f t="shared" ref="U53:U55" si="44">IF(ISNUMBER(T53)," ",IF(T53="X","X"," "))</f>
        <v xml:space="preserve"> </v>
      </c>
      <c r="V53" s="51" t="str">
        <f t="shared" ref="V53:V55" si="45">IF(ISNUMBER(U53)," ",IF(U53="X","X"," "))</f>
        <v xml:space="preserve"> </v>
      </c>
      <c r="W53" s="51" t="str">
        <f t="shared" ref="W53:W55" si="46">IF(ISNUMBER(V53)," ",IF(V53="X","X"," "))</f>
        <v xml:space="preserve"> 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12.75" customHeight="1" x14ac:dyDescent="0.2">
      <c r="A54" s="18"/>
      <c r="B54" s="4"/>
      <c r="C54" s="68"/>
      <c r="D54" s="68"/>
      <c r="E54" s="68"/>
      <c r="F54" s="17"/>
      <c r="G54" s="45"/>
      <c r="H54" s="45"/>
      <c r="I54" s="43"/>
      <c r="J54" s="43"/>
      <c r="K54" s="3"/>
      <c r="L54" s="55" t="str">
        <f t="array" ref="L54">IF(ISNA(INDEX($O$2:$DA$2,1,MATCH(1,IF($O54:$DM54,1),0))),"",INDEX($O$2:$DA$2,1,MATCH(1,IF($O54:$DM54,1),0)))</f>
        <v/>
      </c>
      <c r="M54" s="55" t="str">
        <f t="shared" si="38"/>
        <v/>
      </c>
      <c r="N54" s="56">
        <f t="shared" si="18"/>
        <v>0</v>
      </c>
      <c r="O54" s="51"/>
      <c r="P54" s="51" t="str">
        <f t="shared" si="39"/>
        <v xml:space="preserve"> </v>
      </c>
      <c r="Q54" s="51" t="str">
        <f t="shared" si="40"/>
        <v xml:space="preserve"> </v>
      </c>
      <c r="R54" s="51" t="str">
        <f t="shared" si="41"/>
        <v xml:space="preserve"> </v>
      </c>
      <c r="S54" s="51" t="str">
        <f t="shared" si="42"/>
        <v xml:space="preserve"> </v>
      </c>
      <c r="T54" s="51" t="str">
        <f t="shared" si="43"/>
        <v xml:space="preserve"> </v>
      </c>
      <c r="U54" s="51" t="str">
        <f t="shared" si="44"/>
        <v xml:space="preserve"> </v>
      </c>
      <c r="V54" s="51" t="str">
        <f t="shared" si="45"/>
        <v xml:space="preserve"> </v>
      </c>
      <c r="W54" s="51" t="str">
        <f t="shared" si="46"/>
        <v xml:space="preserve"> 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12.75" customHeight="1" x14ac:dyDescent="0.2">
      <c r="A55" s="18"/>
      <c r="B55" s="4"/>
      <c r="C55" s="68"/>
      <c r="D55" s="4"/>
      <c r="E55" s="4"/>
      <c r="F55" s="17"/>
      <c r="G55" s="45"/>
      <c r="H55" s="45"/>
      <c r="I55" s="43"/>
      <c r="J55" s="43"/>
      <c r="K55" s="3"/>
      <c r="L55" s="55" t="str">
        <f t="array" ref="L55">IF(ISNA(INDEX($O$2:$DA$2,1,MATCH(1,IF($O55:$DM55,1),0))),"",INDEX($O$2:$DA$2,1,MATCH(1,IF($O55:$DM55,1),0)))</f>
        <v/>
      </c>
      <c r="M55" s="55" t="str">
        <f t="shared" si="38"/>
        <v/>
      </c>
      <c r="N55" s="56">
        <f t="shared" si="14"/>
        <v>0</v>
      </c>
      <c r="O55" s="51"/>
      <c r="P55" s="51" t="str">
        <f t="shared" si="39"/>
        <v xml:space="preserve"> </v>
      </c>
      <c r="Q55" s="51" t="str">
        <f t="shared" si="40"/>
        <v xml:space="preserve"> </v>
      </c>
      <c r="R55" s="51" t="str">
        <f t="shared" si="41"/>
        <v xml:space="preserve"> </v>
      </c>
      <c r="S55" s="51" t="str">
        <f t="shared" si="42"/>
        <v xml:space="preserve"> </v>
      </c>
      <c r="T55" s="51" t="str">
        <f t="shared" si="43"/>
        <v xml:space="preserve"> </v>
      </c>
      <c r="U55" s="51" t="str">
        <f t="shared" si="44"/>
        <v xml:space="preserve"> </v>
      </c>
      <c r="V55" s="51" t="str">
        <f t="shared" si="45"/>
        <v xml:space="preserve"> </v>
      </c>
      <c r="W55" s="51" t="str">
        <f t="shared" si="46"/>
        <v xml:space="preserve"> 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12.75" customHeight="1" x14ac:dyDescent="0.2">
      <c r="A56" s="18"/>
      <c r="B56" s="4"/>
      <c r="C56" s="68"/>
      <c r="D56" s="68"/>
      <c r="E56" s="68"/>
      <c r="F56" s="17"/>
      <c r="G56" s="45"/>
      <c r="H56" s="45"/>
      <c r="I56" s="43"/>
      <c r="J56" s="43"/>
      <c r="K56" s="3"/>
      <c r="L56" s="55" t="str">
        <f t="array" ref="L56">IF(ISNA(INDEX($O$2:$DA$2,1,MATCH(1,IF($O56:$DM56,1),0))),"",INDEX($O$2:$DA$2,1,MATCH(1,IF($O56:$DM56,1),0)))</f>
        <v/>
      </c>
      <c r="M56" s="55" t="str">
        <f t="shared" si="1"/>
        <v/>
      </c>
      <c r="N56" s="56">
        <f t="shared" si="14"/>
        <v>0</v>
      </c>
      <c r="O56" s="51"/>
      <c r="P56" s="51" t="str">
        <f t="shared" ref="P56:P59" si="47">IF(ISNUMBER(O56)," ",IF(O56="X","X"," "))</f>
        <v xml:space="preserve"> </v>
      </c>
      <c r="Q56" s="51" t="str">
        <f t="shared" ref="Q56:Q59" si="48">IF(ISNUMBER(P56)," ",IF(P56="X","X"," "))</f>
        <v xml:space="preserve"> </v>
      </c>
      <c r="R56" s="51" t="str">
        <f t="shared" ref="R56:R59" si="49">IF(ISNUMBER(Q56)," ",IF(Q56="X","X"," "))</f>
        <v xml:space="preserve"> </v>
      </c>
      <c r="S56" s="51" t="str">
        <f t="shared" ref="S56:S59" si="50">IF(ISNUMBER(R56)," ",IF(R56="X","X"," "))</f>
        <v xml:space="preserve"> </v>
      </c>
      <c r="T56" s="51" t="str">
        <f t="shared" ref="T56:T59" si="51">IF(ISNUMBER(S56)," ",IF(S56="X","X"," "))</f>
        <v xml:space="preserve"> </v>
      </c>
      <c r="U56" s="51" t="str">
        <f t="shared" ref="U56:U59" si="52">IF(ISNUMBER(T56)," ",IF(T56="X","X"," "))</f>
        <v xml:space="preserve"> </v>
      </c>
      <c r="V56" s="51" t="str">
        <f t="shared" ref="V56:V59" si="53">IF(ISNUMBER(U56)," ",IF(U56="X","X"," "))</f>
        <v xml:space="preserve"> </v>
      </c>
      <c r="W56" s="51" t="str">
        <f t="shared" ref="W56:W59" si="54">IF(ISNUMBER(V56)," ",IF(V56="X","X"," "))</f>
        <v xml:space="preserve"> 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s="22" customFormat="1" x14ac:dyDescent="0.2">
      <c r="A57" s="18"/>
      <c r="B57" s="4"/>
      <c r="C57" s="68"/>
      <c r="D57" s="4"/>
      <c r="E57" s="4"/>
      <c r="F57" s="17"/>
      <c r="G57" s="45"/>
      <c r="H57" s="45"/>
      <c r="I57" s="43"/>
      <c r="J57" s="43"/>
      <c r="K57" s="3"/>
      <c r="L57" s="55" t="str">
        <f t="array" ref="L57">IF(ISNA(INDEX($O$2:$DA$2,1,MATCH(1,IF($O57:$DM57,1),0))),"",INDEX($O$2:$DA$2,1,MATCH(1,IF($O57:$DM57,1),0)))</f>
        <v/>
      </c>
      <c r="M57" s="55" t="str">
        <f t="shared" si="1"/>
        <v/>
      </c>
      <c r="N57" s="56">
        <f t="shared" si="18"/>
        <v>0</v>
      </c>
      <c r="O57" s="51"/>
      <c r="P57" s="51" t="str">
        <f t="shared" si="47"/>
        <v xml:space="preserve"> </v>
      </c>
      <c r="Q57" s="51" t="str">
        <f t="shared" si="48"/>
        <v xml:space="preserve"> </v>
      </c>
      <c r="R57" s="51" t="str">
        <f t="shared" si="49"/>
        <v xml:space="preserve"> </v>
      </c>
      <c r="S57" s="51" t="str">
        <f t="shared" si="50"/>
        <v xml:space="preserve"> </v>
      </c>
      <c r="T57" s="51" t="str">
        <f t="shared" si="51"/>
        <v xml:space="preserve"> </v>
      </c>
      <c r="U57" s="51" t="str">
        <f t="shared" si="52"/>
        <v xml:space="preserve"> </v>
      </c>
      <c r="V57" s="51" t="str">
        <f t="shared" si="53"/>
        <v xml:space="preserve"> </v>
      </c>
      <c r="W57" s="51" t="str">
        <f t="shared" si="54"/>
        <v xml:space="preserve"> 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4"/>
      <c r="C58" s="68"/>
      <c r="D58" s="68"/>
      <c r="E58" s="68"/>
      <c r="F58" s="17"/>
      <c r="G58" s="45"/>
      <c r="H58" s="45"/>
      <c r="I58" s="43"/>
      <c r="J58" s="43"/>
      <c r="K58" s="3"/>
      <c r="L58" s="55" t="str">
        <f t="array" ref="L58">IF(ISNA(INDEX($O$2:$DA$2,1,MATCH(1,IF($O58:$DM58,1),0))),"",INDEX($O$2:$DA$2,1,MATCH(1,IF($O58:$DM58,1),0)))</f>
        <v/>
      </c>
      <c r="M58" s="55" t="str">
        <f t="shared" si="1"/>
        <v/>
      </c>
      <c r="N58" s="56">
        <f t="shared" si="18"/>
        <v>0</v>
      </c>
      <c r="O58" s="51"/>
      <c r="P58" s="51" t="str">
        <f t="shared" si="47"/>
        <v xml:space="preserve"> </v>
      </c>
      <c r="Q58" s="51" t="str">
        <f t="shared" si="48"/>
        <v xml:space="preserve"> </v>
      </c>
      <c r="R58" s="51" t="str">
        <f t="shared" si="49"/>
        <v xml:space="preserve"> </v>
      </c>
      <c r="S58" s="51" t="str">
        <f t="shared" si="50"/>
        <v xml:space="preserve"> </v>
      </c>
      <c r="T58" s="51" t="str">
        <f t="shared" si="51"/>
        <v xml:space="preserve"> </v>
      </c>
      <c r="U58" s="51" t="str">
        <f t="shared" si="52"/>
        <v xml:space="preserve"> </v>
      </c>
      <c r="V58" s="51" t="str">
        <f t="shared" si="53"/>
        <v xml:space="preserve"> </v>
      </c>
      <c r="W58" s="51" t="str">
        <f t="shared" si="54"/>
        <v xml:space="preserve"> </v>
      </c>
      <c r="X58" s="5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2">
      <c r="A59" s="18"/>
      <c r="B59" s="4"/>
      <c r="C59" s="68"/>
      <c r="D59" s="4"/>
      <c r="E59" s="4"/>
      <c r="F59" s="17"/>
      <c r="G59" s="45"/>
      <c r="H59" s="45"/>
      <c r="I59" s="43"/>
      <c r="J59" s="43"/>
      <c r="K59" s="3"/>
      <c r="L59" s="55" t="str">
        <f t="array" ref="L59">IF(ISNA(INDEX($O$2:$DA$2,1,MATCH(1,IF($O59:$DM59,1),0))),"",INDEX($O$2:$DA$2,1,MATCH(1,IF($O59:$DM59,1),0)))</f>
        <v/>
      </c>
      <c r="M59" s="55" t="str">
        <f t="shared" si="1"/>
        <v/>
      </c>
      <c r="N59" s="56">
        <f t="shared" si="14"/>
        <v>0</v>
      </c>
      <c r="O59" s="51"/>
      <c r="P59" s="51" t="str">
        <f t="shared" si="47"/>
        <v xml:space="preserve"> </v>
      </c>
      <c r="Q59" s="51" t="str">
        <f t="shared" si="48"/>
        <v xml:space="preserve"> </v>
      </c>
      <c r="R59" s="51" t="str">
        <f t="shared" si="49"/>
        <v xml:space="preserve"> </v>
      </c>
      <c r="S59" s="51" t="str">
        <f t="shared" si="50"/>
        <v xml:space="preserve"> </v>
      </c>
      <c r="T59" s="51" t="str">
        <f t="shared" si="51"/>
        <v xml:space="preserve"> </v>
      </c>
      <c r="U59" s="51" t="str">
        <f t="shared" si="52"/>
        <v xml:space="preserve"> </v>
      </c>
      <c r="V59" s="51" t="str">
        <f t="shared" si="53"/>
        <v xml:space="preserve"> </v>
      </c>
      <c r="W59" s="51" t="str">
        <f t="shared" si="54"/>
        <v xml:space="preserve"> </v>
      </c>
      <c r="X59" s="5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8"/>
      <c r="D60" s="18"/>
      <c r="E60" s="18"/>
      <c r="F60" s="18"/>
      <c r="G60" s="18"/>
      <c r="H60" s="18"/>
      <c r="I60" s="63" t="s">
        <v>59</v>
      </c>
      <c r="J60" s="48">
        <f>MATCH(MAX($O$2:$W$2),$O$2:$W$2,0)-1</f>
        <v>8</v>
      </c>
      <c r="K60" s="18"/>
      <c r="L60" s="18"/>
      <c r="M60" s="18"/>
      <c r="N60" s="38" t="s">
        <v>61</v>
      </c>
      <c r="O60" s="56">
        <f>SUM(O3:O51)</f>
        <v>33.5</v>
      </c>
      <c r="P60" s="56">
        <f>SUM(P3:P51)</f>
        <v>18.25</v>
      </c>
      <c r="Q60" s="56">
        <f>SUM(Q3:Q51)</f>
        <v>24.5</v>
      </c>
      <c r="R60" s="56">
        <f>SUM(R3:R51)</f>
        <v>40</v>
      </c>
      <c r="S60" s="56">
        <f t="shared" ref="S60:W60" si="55">SUM(S3:S51)</f>
        <v>33.950000000000003</v>
      </c>
      <c r="T60" s="56">
        <f t="shared" si="55"/>
        <v>41.05</v>
      </c>
      <c r="U60" s="56">
        <f t="shared" si="55"/>
        <v>20.049999999999997</v>
      </c>
      <c r="V60" s="56">
        <f t="shared" si="55"/>
        <v>0</v>
      </c>
      <c r="W60" s="56">
        <f t="shared" si="55"/>
        <v>0</v>
      </c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8"/>
      <c r="D61" s="18"/>
      <c r="E61" s="18"/>
      <c r="F61" s="18"/>
      <c r="G61" s="18"/>
      <c r="H61" s="18"/>
      <c r="I61" s="102" t="s">
        <v>60</v>
      </c>
      <c r="J61" s="103"/>
      <c r="K61" s="48">
        <f>K63/J60</f>
        <v>33.34375</v>
      </c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ht="47.25" x14ac:dyDescent="0.2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27">
        <f t="shared" ref="N62:W62" si="56">IF(OR(ISBLANK(O2),O2=$X$2),"",O2)</f>
        <v>41372</v>
      </c>
      <c r="O62" s="27">
        <f t="shared" si="56"/>
        <v>41379</v>
      </c>
      <c r="P62" s="27">
        <f t="shared" si="56"/>
        <v>41386</v>
      </c>
      <c r="Q62" s="27">
        <f t="shared" si="56"/>
        <v>41393</v>
      </c>
      <c r="R62" s="27">
        <f t="shared" si="56"/>
        <v>41407</v>
      </c>
      <c r="S62" s="27">
        <f t="shared" si="56"/>
        <v>41414</v>
      </c>
      <c r="T62" s="27">
        <f t="shared" si="56"/>
        <v>41421</v>
      </c>
      <c r="U62" s="27">
        <f t="shared" si="56"/>
        <v>41428</v>
      </c>
      <c r="V62" s="27">
        <f t="shared" si="56"/>
        <v>41435</v>
      </c>
      <c r="W62" s="27" t="str">
        <f t="shared" si="56"/>
        <v/>
      </c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29"/>
      <c r="C63" s="99" t="s">
        <v>0</v>
      </c>
      <c r="D63" s="100"/>
      <c r="E63" s="100"/>
      <c r="F63" s="100"/>
      <c r="G63" s="100"/>
      <c r="H63" s="100"/>
      <c r="I63" s="101"/>
      <c r="J63" s="30">
        <f>MAX(H3:H50)-MIN(G3:G50)</f>
        <v>56</v>
      </c>
      <c r="K63" s="30">
        <f>SUM(K3:K51)</f>
        <v>266.75</v>
      </c>
      <c r="L63" s="31"/>
      <c r="M63" s="32"/>
      <c r="N63" s="67">
        <v>296</v>
      </c>
      <c r="O63" s="50">
        <f t="shared" ref="O63:R63" si="57">IF(O62="","",N63)</f>
        <v>296</v>
      </c>
      <c r="P63" s="50">
        <f t="shared" si="57"/>
        <v>296</v>
      </c>
      <c r="Q63" s="50">
        <f t="shared" si="57"/>
        <v>296</v>
      </c>
      <c r="R63" s="50">
        <f t="shared" si="57"/>
        <v>296</v>
      </c>
      <c r="S63" s="50">
        <f>IF(S62="","",R63)</f>
        <v>296</v>
      </c>
      <c r="T63" s="50">
        <f>IF(T62="","",S63)</f>
        <v>296</v>
      </c>
      <c r="U63" s="50">
        <f>IF(U62="","",T63)</f>
        <v>296</v>
      </c>
      <c r="V63" s="50">
        <f>IF(V62="","",U63)</f>
        <v>296</v>
      </c>
      <c r="W63" s="50"/>
      <c r="X63" s="29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ht="25.5" x14ac:dyDescent="0.2">
      <c r="A64" s="18"/>
      <c r="B64" s="29"/>
      <c r="C64" s="58" t="s">
        <v>31</v>
      </c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34">
        <f t="array" ref="N64">IF(N62="","",M64+IF(ISNA(VLOOKUP(O2,$H$2:$H$51,2,FALSE)),0,SUM(IF($H$2:$K$51=O2,$K$2:$K$51))))</f>
        <v>0</v>
      </c>
      <c r="O64" s="34">
        <f t="array" ref="O64">IF(O62="","",N64+IF(ISNA(VLOOKUP(P2,$H$2:$H$51,2,FALSE)),0,SUM(IF($H$2:$K$51=P2,$K$2:$K$51))))</f>
        <v>31</v>
      </c>
      <c r="P64" s="34">
        <f t="array" ref="P64">IF(P62="","",O64+IF(ISNA(VLOOKUP(Q2,$H$2:$H$51,2,FALSE)),0,SUM(IF($H$2:$K$51=Q2,$K$2:$K$51))))</f>
        <v>41.25</v>
      </c>
      <c r="Q64" s="34">
        <f t="array" ref="Q64">IF(Q62="","",P64+IF(ISNA(VLOOKUP(R2,$H$2:$H$51,2,FALSE)),0,SUM(IF($H$2:$K$51=R2,$K$2:$K$51))))</f>
        <v>120.25</v>
      </c>
      <c r="R64" s="34">
        <f t="array" ref="R64">IF(R62="","",Q64+IF(ISNA(VLOOKUP(S2,$H$2:$H$51,2,FALSE)),0,SUM(IF($H$2:$K$51=S2,$K$2:$K$51))))</f>
        <v>146.25</v>
      </c>
      <c r="S64" s="34">
        <f t="array" ref="S64">IF(S62="","",R64+IF(ISNA(VLOOKUP(T2,$H$2:$H$51,2,FALSE)),0,SUM(IF($H$2:$K$51=T2,$K$2:$K$51))))</f>
        <v>176.75</v>
      </c>
      <c r="T64" s="34">
        <f t="array" ref="T64">IF(T62="","",S64+IF(ISNA(VLOOKUP(U2,$H$2:$H$51,2,FALSE)),0,SUM(IF($H$2:$K$51=U2,$K$2:$K$51))))</f>
        <v>209.25</v>
      </c>
      <c r="U64" s="34">
        <f t="array" ref="U64">IF(U62="","",T64+IF(ISNA(VLOOKUP(V2,$H$2:$H$51,2,FALSE)),0,SUM(IF($H$2:$K$51=V2,$K$2:$K$51))))</f>
        <v>261.75</v>
      </c>
      <c r="V64" s="34"/>
      <c r="W64" s="34"/>
      <c r="X64" s="29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ht="25.5" x14ac:dyDescent="0.2">
      <c r="A65" s="18"/>
      <c r="B65" s="18"/>
      <c r="C65" s="60" t="s">
        <v>15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4">
        <v>0</v>
      </c>
      <c r="O65" s="6">
        <f>SUMIFS($K$3:$K$51,P3:P51,"=X")</f>
        <v>18</v>
      </c>
      <c r="P65" s="6">
        <f>SUMIFS($K$3:$K$51,Q3:Q51,"=X")</f>
        <v>41.25</v>
      </c>
      <c r="Q65" s="6">
        <f>SUMIFS($K$3:$K$51,R3:R51,"=X")</f>
        <v>66.25</v>
      </c>
      <c r="R65" s="6">
        <f>SUMIFS($K$3:$K$51,S3:S51,"=X")</f>
        <v>138.25</v>
      </c>
      <c r="S65" s="6">
        <f t="shared" ref="S65:T65" si="58">SUMIFS($K$3:$K$51,T3:T51,"=X")</f>
        <v>150.75</v>
      </c>
      <c r="T65" s="6">
        <f t="shared" si="58"/>
        <v>177.25</v>
      </c>
      <c r="U65" s="6"/>
      <c r="V65" s="6"/>
      <c r="W65" s="6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ht="25.5" x14ac:dyDescent="0.2">
      <c r="A66" s="18"/>
      <c r="B66" s="18"/>
      <c r="C66" s="62" t="s">
        <v>32</v>
      </c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65">
        <v>0</v>
      </c>
      <c r="O66" s="6">
        <f>SUM(O3:O51)+N66</f>
        <v>33.5</v>
      </c>
      <c r="P66" s="6">
        <f>SUM(P3:P51)+O66</f>
        <v>51.75</v>
      </c>
      <c r="Q66" s="6">
        <f>SUM(Q3:Q51)+P66</f>
        <v>76.25</v>
      </c>
      <c r="R66" s="6">
        <f>SUM(R3:R51)+Q66</f>
        <v>116.25</v>
      </c>
      <c r="S66" s="6">
        <f t="shared" ref="S66" si="59">SUM(S3:S51)+R66</f>
        <v>150.19999999999999</v>
      </c>
      <c r="T66" s="6">
        <f>SUM(T3:T51)+S66</f>
        <v>191.25</v>
      </c>
      <c r="U66" s="6"/>
      <c r="V66" s="6"/>
      <c r="W66" s="6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ht="12.75" customHeight="1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91" t="s">
        <v>19</v>
      </c>
      <c r="N68" s="92"/>
      <c r="O68" s="20" t="s">
        <v>18</v>
      </c>
      <c r="P68" s="21"/>
      <c r="Q68" s="21"/>
      <c r="R68" s="21"/>
      <c r="S68" s="21"/>
      <c r="T68" s="21"/>
      <c r="U68" s="21"/>
      <c r="V68" s="21"/>
      <c r="W68" s="21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ht="47.25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23" t="s">
        <v>5</v>
      </c>
      <c r="N69" s="23" t="s">
        <v>7</v>
      </c>
      <c r="O69" s="27">
        <f t="shared" ref="O69:R69" si="60">O2</f>
        <v>41372</v>
      </c>
      <c r="P69" s="39">
        <f t="shared" si="60"/>
        <v>41379</v>
      </c>
      <c r="Q69" s="39">
        <f t="shared" si="60"/>
        <v>41386</v>
      </c>
      <c r="R69" s="39">
        <f t="shared" si="60"/>
        <v>41393</v>
      </c>
      <c r="S69" s="39">
        <f>S2</f>
        <v>41407</v>
      </c>
      <c r="T69" s="39">
        <f>T2</f>
        <v>41414</v>
      </c>
      <c r="U69" s="39">
        <f>U2</f>
        <v>41421</v>
      </c>
      <c r="V69" s="39">
        <f>V2</f>
        <v>41428</v>
      </c>
      <c r="W69" s="39"/>
      <c r="X69" s="23" t="s">
        <v>13</v>
      </c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49" t="s">
        <v>103</v>
      </c>
      <c r="N70" s="37">
        <f>SUM(O60:CG60)</f>
        <v>211.3</v>
      </c>
      <c r="O70" s="37">
        <f t="shared" ref="O70:W71" si="61">SUMIF($F$3:$F$41,$M70,O$3:O$41)</f>
        <v>0</v>
      </c>
      <c r="P70" s="37">
        <f t="shared" si="61"/>
        <v>0</v>
      </c>
      <c r="Q70" s="37">
        <f t="shared" si="61"/>
        <v>0</v>
      </c>
      <c r="R70" s="37">
        <f t="shared" si="61"/>
        <v>0</v>
      </c>
      <c r="S70" s="37">
        <f t="shared" si="61"/>
        <v>0</v>
      </c>
      <c r="T70" s="37">
        <f t="shared" si="61"/>
        <v>0</v>
      </c>
      <c r="U70" s="37">
        <f t="shared" si="61"/>
        <v>0</v>
      </c>
      <c r="V70" s="37">
        <f t="shared" si="61"/>
        <v>0</v>
      </c>
      <c r="W70" s="37">
        <f t="shared" si="61"/>
        <v>0</v>
      </c>
      <c r="X70" s="5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49" t="s">
        <v>104</v>
      </c>
      <c r="N71" s="37">
        <f>SUM(O61:CG61)</f>
        <v>0</v>
      </c>
      <c r="O71" s="37">
        <f t="shared" si="61"/>
        <v>0</v>
      </c>
      <c r="P71" s="37">
        <f t="shared" si="61"/>
        <v>0</v>
      </c>
      <c r="Q71" s="37">
        <f t="shared" si="61"/>
        <v>0</v>
      </c>
      <c r="R71" s="37">
        <f t="shared" si="61"/>
        <v>0</v>
      </c>
      <c r="S71" s="37">
        <f t="shared" si="61"/>
        <v>0</v>
      </c>
      <c r="T71" s="37">
        <f t="shared" si="61"/>
        <v>0</v>
      </c>
      <c r="U71" s="37">
        <f t="shared" si="61"/>
        <v>0</v>
      </c>
      <c r="V71" s="37">
        <f t="shared" si="61"/>
        <v>0</v>
      </c>
      <c r="W71" s="37">
        <f t="shared" si="61"/>
        <v>0</v>
      </c>
      <c r="X71" s="5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  <row r="72" spans="1:34" x14ac:dyDescent="0.2">
      <c r="A72" s="18"/>
      <c r="B72" s="18"/>
      <c r="C72" s="19"/>
      <c r="D72" s="19"/>
      <c r="E72" s="19"/>
      <c r="F72" s="19"/>
      <c r="G72" s="19"/>
      <c r="H72" s="19"/>
      <c r="I72" s="19"/>
      <c r="J72" s="19"/>
      <c r="K72" s="19"/>
      <c r="L72" s="35"/>
      <c r="M72" s="49" t="s">
        <v>105</v>
      </c>
      <c r="N72" s="37">
        <v>0</v>
      </c>
      <c r="O72" s="37">
        <v>0</v>
      </c>
      <c r="P72" s="37">
        <v>0</v>
      </c>
      <c r="Q72" s="37">
        <v>0</v>
      </c>
      <c r="R72" s="37">
        <v>0</v>
      </c>
      <c r="S72" s="37">
        <v>0</v>
      </c>
      <c r="T72" s="37">
        <v>0</v>
      </c>
      <c r="U72" s="37">
        <v>0</v>
      </c>
      <c r="V72" s="37">
        <v>0</v>
      </c>
      <c r="W72" s="37">
        <v>0</v>
      </c>
      <c r="X72" s="5"/>
      <c r="Y72" s="18"/>
      <c r="Z72" s="18"/>
      <c r="AA72" s="18"/>
      <c r="AB72" s="18"/>
      <c r="AC72" s="18"/>
      <c r="AD72" s="18"/>
      <c r="AE72" s="18"/>
      <c r="AF72" s="18"/>
      <c r="AG72" s="18"/>
      <c r="AH72" s="18"/>
    </row>
    <row r="73" spans="1:34" x14ac:dyDescent="0.2">
      <c r="A73" s="18"/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35"/>
      <c r="M73" s="49" t="s">
        <v>107</v>
      </c>
      <c r="N73" s="37">
        <v>0</v>
      </c>
      <c r="O73" s="37">
        <v>0</v>
      </c>
      <c r="P73" s="37">
        <v>0</v>
      </c>
      <c r="Q73" s="37">
        <v>0</v>
      </c>
      <c r="R73" s="37">
        <v>0</v>
      </c>
      <c r="S73" s="37">
        <v>0</v>
      </c>
      <c r="T73" s="37">
        <v>0</v>
      </c>
      <c r="U73" s="37">
        <v>0</v>
      </c>
      <c r="V73" s="37">
        <v>0</v>
      </c>
      <c r="W73" s="37">
        <v>0</v>
      </c>
      <c r="X73" s="5"/>
      <c r="Y73" s="18"/>
      <c r="Z73" s="18"/>
      <c r="AA73" s="18"/>
      <c r="AB73" s="18"/>
      <c r="AC73" s="18"/>
      <c r="AD73" s="18"/>
      <c r="AE73" s="18"/>
      <c r="AF73" s="18"/>
      <c r="AG73" s="18"/>
      <c r="AH73" s="18"/>
    </row>
    <row r="74" spans="1:34" x14ac:dyDescent="0.2">
      <c r="A74" s="18"/>
      <c r="B74" s="18"/>
      <c r="C74" s="19"/>
      <c r="D74" s="19"/>
      <c r="E74" s="19"/>
      <c r="F74" s="19"/>
      <c r="G74" s="19"/>
      <c r="H74" s="19"/>
      <c r="I74" s="19"/>
      <c r="J74" s="19"/>
      <c r="K74" s="19"/>
      <c r="L74" s="35"/>
      <c r="M74" s="49" t="s">
        <v>111</v>
      </c>
      <c r="N74" s="37">
        <v>0</v>
      </c>
      <c r="O74" s="37">
        <v>0</v>
      </c>
      <c r="P74" s="37">
        <v>0</v>
      </c>
      <c r="Q74" s="37">
        <v>0</v>
      </c>
      <c r="R74" s="37">
        <v>0</v>
      </c>
      <c r="S74" s="37">
        <v>0</v>
      </c>
      <c r="T74" s="37">
        <v>0</v>
      </c>
      <c r="U74" s="37">
        <v>0</v>
      </c>
      <c r="V74" s="37">
        <v>0</v>
      </c>
      <c r="W74" s="37">
        <v>0</v>
      </c>
      <c r="X74" s="5"/>
      <c r="Y74" s="18"/>
      <c r="Z74" s="18"/>
      <c r="AA74" s="18"/>
      <c r="AB74" s="18"/>
      <c r="AC74" s="18"/>
      <c r="AD74" s="18"/>
      <c r="AE74" s="18"/>
      <c r="AF74" s="18"/>
      <c r="AG74" s="18"/>
      <c r="AH74" s="18"/>
    </row>
    <row r="75" spans="1:34" x14ac:dyDescent="0.2">
      <c r="A75" s="18"/>
      <c r="B75" s="18"/>
      <c r="C75" s="19"/>
      <c r="D75" s="19"/>
      <c r="E75" s="19"/>
      <c r="F75" s="19"/>
      <c r="G75" s="19"/>
      <c r="H75" s="19"/>
      <c r="I75" s="19"/>
      <c r="J75" s="19"/>
      <c r="K75" s="19"/>
      <c r="L75" s="35"/>
      <c r="M75" s="49" t="s">
        <v>107</v>
      </c>
      <c r="N75" s="37">
        <v>0</v>
      </c>
      <c r="O75" s="37">
        <v>0</v>
      </c>
      <c r="P75" s="37">
        <v>0</v>
      </c>
      <c r="Q75" s="37">
        <v>0</v>
      </c>
      <c r="R75" s="37">
        <v>0</v>
      </c>
      <c r="S75" s="37">
        <v>0</v>
      </c>
      <c r="T75" s="37">
        <v>0</v>
      </c>
      <c r="U75" s="37">
        <v>0</v>
      </c>
      <c r="V75" s="37">
        <v>0</v>
      </c>
      <c r="W75" s="37">
        <v>0</v>
      </c>
      <c r="X75" s="5"/>
      <c r="Y75" s="18"/>
      <c r="Z75" s="18"/>
      <c r="AA75" s="18"/>
      <c r="AB75" s="18"/>
      <c r="AC75" s="18"/>
      <c r="AD75" s="18"/>
      <c r="AE75" s="18"/>
      <c r="AF75" s="18"/>
      <c r="AG75" s="18"/>
      <c r="AH75" s="18"/>
    </row>
    <row r="76" spans="1:34" x14ac:dyDescent="0.2">
      <c r="A76" s="18"/>
      <c r="B76" s="18"/>
      <c r="C76" s="19"/>
      <c r="D76" s="19"/>
      <c r="E76" s="19"/>
      <c r="F76" s="19"/>
      <c r="G76" s="19"/>
      <c r="H76" s="19"/>
      <c r="I76" s="19"/>
      <c r="J76" s="19"/>
      <c r="K76" s="19"/>
      <c r="L76" s="35"/>
      <c r="M76" s="49" t="s">
        <v>106</v>
      </c>
      <c r="N76" s="37">
        <f>SUM(O66:CG66)</f>
        <v>619.20000000000005</v>
      </c>
      <c r="O76" s="37">
        <f t="shared" ref="O76:V77" si="62">SUMIF($F$3:$F$41,$M76,O$3:O$41)</f>
        <v>0</v>
      </c>
      <c r="P76" s="37">
        <f t="shared" si="62"/>
        <v>0</v>
      </c>
      <c r="Q76" s="37">
        <f t="shared" si="62"/>
        <v>0</v>
      </c>
      <c r="R76" s="37">
        <f t="shared" si="62"/>
        <v>0</v>
      </c>
      <c r="S76" s="37">
        <f t="shared" si="62"/>
        <v>0</v>
      </c>
      <c r="T76" s="37">
        <f t="shared" si="62"/>
        <v>0</v>
      </c>
      <c r="U76" s="37">
        <f t="shared" si="62"/>
        <v>0</v>
      </c>
      <c r="V76" s="37">
        <f t="shared" si="62"/>
        <v>0</v>
      </c>
      <c r="W76" s="37">
        <v>0</v>
      </c>
      <c r="X76" s="5"/>
      <c r="Y76" s="18"/>
      <c r="Z76" s="18"/>
      <c r="AA76" s="18"/>
      <c r="AB76" s="18"/>
      <c r="AC76" s="18"/>
      <c r="AD76" s="18"/>
      <c r="AE76" s="18"/>
      <c r="AF76" s="18"/>
      <c r="AG76" s="18"/>
      <c r="AH76" s="18"/>
    </row>
    <row r="77" spans="1:34" x14ac:dyDescent="0.2">
      <c r="A77" s="18"/>
      <c r="B77" s="18"/>
      <c r="C77" s="19"/>
      <c r="D77" s="19"/>
      <c r="E77" s="19"/>
      <c r="F77" s="19"/>
      <c r="G77" s="19"/>
      <c r="H77" s="19"/>
      <c r="I77" s="57"/>
      <c r="J77" s="19"/>
      <c r="K77" s="19"/>
      <c r="L77" s="35"/>
      <c r="M77" s="49"/>
      <c r="N77" s="37">
        <f>SUM(O67:CG67)</f>
        <v>0</v>
      </c>
      <c r="O77" s="37">
        <f t="shared" si="62"/>
        <v>0</v>
      </c>
      <c r="P77" s="37">
        <f t="shared" si="62"/>
        <v>0</v>
      </c>
      <c r="Q77" s="37">
        <f t="shared" si="62"/>
        <v>0</v>
      </c>
      <c r="R77" s="37">
        <f t="shared" si="62"/>
        <v>0</v>
      </c>
      <c r="S77" s="37">
        <f t="shared" si="62"/>
        <v>0</v>
      </c>
      <c r="T77" s="37">
        <f t="shared" si="62"/>
        <v>0</v>
      </c>
      <c r="U77" s="37">
        <f t="shared" si="62"/>
        <v>0</v>
      </c>
      <c r="V77" s="37">
        <f t="shared" si="62"/>
        <v>0</v>
      </c>
      <c r="W77" s="37">
        <f>SUMIF($F$3:$F$41,$M77,W$3:W$41)</f>
        <v>0</v>
      </c>
      <c r="X77" s="5"/>
      <c r="Y77" s="18"/>
      <c r="Z77" s="18"/>
      <c r="AA77" s="18"/>
      <c r="AB77" s="18"/>
      <c r="AC77" s="18"/>
      <c r="AD77" s="18"/>
      <c r="AE77" s="18"/>
      <c r="AF77" s="18"/>
      <c r="AG77" s="18"/>
      <c r="AH77" s="18"/>
    </row>
    <row r="78" spans="1:34" x14ac:dyDescent="0.2">
      <c r="A78" s="18"/>
      <c r="B78" s="18"/>
      <c r="C78" s="19"/>
      <c r="D78" s="19"/>
      <c r="E78" s="19"/>
      <c r="F78" s="19"/>
      <c r="G78" s="19"/>
      <c r="H78" s="19"/>
      <c r="I78" s="19"/>
      <c r="J78" s="19"/>
      <c r="K78" s="19"/>
      <c r="L78" s="35"/>
      <c r="M78" s="47" t="s">
        <v>20</v>
      </c>
      <c r="N78" s="48">
        <f>SUM(N70:N77)</f>
        <v>830.5</v>
      </c>
      <c r="O78" s="48">
        <f t="shared" ref="O78:R78" si="63">SUM(O70:O77)</f>
        <v>0</v>
      </c>
      <c r="P78" s="48">
        <f t="shared" si="63"/>
        <v>0</v>
      </c>
      <c r="Q78" s="48">
        <f t="shared" si="63"/>
        <v>0</v>
      </c>
      <c r="R78" s="48">
        <f t="shared" si="63"/>
        <v>0</v>
      </c>
      <c r="S78" s="48">
        <f>SUM(S70:S77)</f>
        <v>0</v>
      </c>
      <c r="T78" s="48">
        <f>SUM(T70:T77)</f>
        <v>0</v>
      </c>
      <c r="U78" s="48">
        <f>SUM(U70:U77)</f>
        <v>0</v>
      </c>
      <c r="V78" s="48">
        <f>SUM(V70:V77)</f>
        <v>0</v>
      </c>
      <c r="W78" s="48">
        <f>SUM(W70:W77)</f>
        <v>0</v>
      </c>
      <c r="X78" s="18"/>
      <c r="Y78" s="18"/>
      <c r="Z78" s="18"/>
      <c r="AA78" s="18"/>
      <c r="AB78" s="18"/>
      <c r="AC78" s="18"/>
      <c r="AD78" s="18"/>
      <c r="AE78" s="18"/>
      <c r="AF78" s="18"/>
      <c r="AG78" s="18"/>
      <c r="AH78" s="18"/>
    </row>
    <row r="79" spans="1:34" x14ac:dyDescent="0.2">
      <c r="A79" s="18"/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35"/>
      <c r="M79" s="35"/>
      <c r="N79" s="35"/>
      <c r="O79" s="36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</row>
    <row r="80" spans="1:34" x14ac:dyDescent="0.2">
      <c r="A80" s="18"/>
      <c r="B80" s="18"/>
      <c r="C80" s="19"/>
      <c r="D80" s="19"/>
      <c r="E80" s="19"/>
      <c r="F80" s="19"/>
      <c r="G80" s="19"/>
      <c r="H80" s="19"/>
      <c r="I80" s="19"/>
      <c r="J80" s="19"/>
      <c r="K80" s="19"/>
      <c r="L80" s="35"/>
      <c r="M80" s="35"/>
      <c r="N80" s="35"/>
      <c r="O80" s="36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</row>
    <row r="81" spans="1:34" x14ac:dyDescent="0.2">
      <c r="A81" s="18"/>
      <c r="B81" s="18"/>
      <c r="C81" s="19"/>
      <c r="D81" s="19"/>
      <c r="E81" s="19"/>
      <c r="F81" s="19"/>
      <c r="G81" s="19"/>
      <c r="H81" s="19"/>
      <c r="I81" s="19"/>
      <c r="J81" s="19"/>
      <c r="K81" s="19"/>
      <c r="L81" s="35"/>
      <c r="M81" s="35"/>
      <c r="N81" s="35"/>
      <c r="O81" s="36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68:N68"/>
    <mergeCell ref="G1:K1"/>
    <mergeCell ref="L1:N1"/>
    <mergeCell ref="C63:I63"/>
    <mergeCell ref="I61:J61"/>
  </mergeCells>
  <conditionalFormatting sqref="L56:M59 L3:M47">
    <cfRule type="containsBlanks" priority="94" stopIfTrue="1">
      <formula>LEN(TRIM(L3))=0</formula>
    </cfRule>
  </conditionalFormatting>
  <conditionalFormatting sqref="M56:M59 M13:M47">
    <cfRule type="cellIs" dxfId="29" priority="146" operator="greaterThan">
      <formula>#REF!</formula>
    </cfRule>
    <cfRule type="cellIs" dxfId="28" priority="147" operator="lessThan">
      <formula>#REF!</formula>
    </cfRule>
  </conditionalFormatting>
  <conditionalFormatting sqref="L56:M59 L3:M47">
    <cfRule type="cellIs" dxfId="27" priority="153" operator="greaterThan">
      <formula>G3</formula>
    </cfRule>
    <cfRule type="cellIs" dxfId="26" priority="154" operator="lessThan">
      <formula>G3</formula>
    </cfRule>
  </conditionalFormatting>
  <conditionalFormatting sqref="N3:N59">
    <cfRule type="cellIs" priority="157" stopIfTrue="1" operator="equal">
      <formula>0</formula>
    </cfRule>
    <cfRule type="cellIs" dxfId="25" priority="158" operator="lessThan">
      <formula>K3</formula>
    </cfRule>
    <cfRule type="cellIs" dxfId="24" priority="159" operator="greaterThan">
      <formula>K3</formula>
    </cfRule>
  </conditionalFormatting>
  <conditionalFormatting sqref="O65:W65">
    <cfRule type="cellIs" dxfId="23" priority="51" operator="greaterThan">
      <formula>0</formula>
    </cfRule>
  </conditionalFormatting>
  <conditionalFormatting sqref="O66:W66">
    <cfRule type="cellIs" dxfId="22" priority="50" operator="greaterThan">
      <formula>0</formula>
    </cfRule>
  </conditionalFormatting>
  <conditionalFormatting sqref="G56:H59 G51:H52 G49:H49 G3:H47">
    <cfRule type="expression" dxfId="21" priority="40">
      <formula>FormulaInCell</formula>
    </cfRule>
  </conditionalFormatting>
  <conditionalFormatting sqref="O3:W59">
    <cfRule type="cellIs" dxfId="20" priority="47" operator="equal">
      <formula>"X"</formula>
    </cfRule>
    <cfRule type="cellIs" dxfId="19" priority="48" operator="greaterThan">
      <formula>0</formula>
    </cfRule>
    <cfRule type="expression" dxfId="18" priority="49">
      <formula>AND(O$2&gt;=$G3,O$2&lt;$H3,ISNUMBER(O3))</formula>
    </cfRule>
    <cfRule type="expression" dxfId="17" priority="52">
      <formula>AND(O$2&gt;=$G3,O$2&lt;$H3)</formula>
    </cfRule>
    <cfRule type="expression" dxfId="16" priority="53">
      <formula>AND(ISNUMBER(O3))</formula>
    </cfRule>
  </conditionalFormatting>
  <conditionalFormatting sqref="O60:W60">
    <cfRule type="cellIs" priority="30" stopIfTrue="1" operator="equal">
      <formula>0</formula>
    </cfRule>
    <cfRule type="cellIs" dxfId="15" priority="31" operator="lessThan">
      <formula>$K$61</formula>
    </cfRule>
    <cfRule type="cellIs" dxfId="14" priority="32" operator="greaterThan">
      <formula>$K$61</formula>
    </cfRule>
  </conditionalFormatting>
  <conditionalFormatting sqref="O63:W63">
    <cfRule type="expression" dxfId="13" priority="175">
      <formula>O63=N$63</formula>
    </cfRule>
  </conditionalFormatting>
  <conditionalFormatting sqref="L48:M49 L53:M55">
    <cfRule type="containsBlanks" priority="22" stopIfTrue="1">
      <formula>LEN(TRIM(L48))=0</formula>
    </cfRule>
  </conditionalFormatting>
  <conditionalFormatting sqref="M48:M49 M53:M55">
    <cfRule type="cellIs" dxfId="12" priority="23" operator="greaterThan">
      <formula>#REF!</formula>
    </cfRule>
    <cfRule type="cellIs" dxfId="11" priority="24" operator="lessThan">
      <formula>#REF!</formula>
    </cfRule>
  </conditionalFormatting>
  <conditionalFormatting sqref="L53:M55">
    <cfRule type="cellIs" dxfId="10" priority="25" operator="greaterThan">
      <formula>G53</formula>
    </cfRule>
    <cfRule type="cellIs" dxfId="9" priority="26" operator="lessThan">
      <formula>G53</formula>
    </cfRule>
  </conditionalFormatting>
  <conditionalFormatting sqref="G48:H48 G53:H55">
    <cfRule type="expression" dxfId="8" priority="16">
      <formula>FormulaInCell</formula>
    </cfRule>
  </conditionalFormatting>
  <conditionalFormatting sqref="L50:M52">
    <cfRule type="containsBlanks" priority="8" stopIfTrue="1">
      <formula>LEN(TRIM(L50))=0</formula>
    </cfRule>
  </conditionalFormatting>
  <conditionalFormatting sqref="M50:M52">
    <cfRule type="cellIs" dxfId="7" priority="9" operator="greaterThan">
      <formula>#REF!</formula>
    </cfRule>
    <cfRule type="cellIs" dxfId="6" priority="10" operator="lessThan">
      <formula>#REF!</formula>
    </cfRule>
  </conditionalFormatting>
  <conditionalFormatting sqref="O69:W69 O2:W2 N62:W62">
    <cfRule type="expression" dxfId="5" priority="223">
      <formula>N2&gt;MAX($H$3:$H$41)</formula>
    </cfRule>
  </conditionalFormatting>
  <conditionalFormatting sqref="L48:M49">
    <cfRule type="cellIs" dxfId="4" priority="244" operator="greaterThan">
      <formula>#REF!</formula>
    </cfRule>
    <cfRule type="cellIs" dxfId="3" priority="245" operator="lessThan">
      <formula>#REF!</formula>
    </cfRule>
  </conditionalFormatting>
  <conditionalFormatting sqref="L50:M52">
    <cfRule type="cellIs" dxfId="2" priority="246" operator="greaterThan">
      <formula>G49</formula>
    </cfRule>
    <cfRule type="cellIs" dxfId="1" priority="247" operator="lessThan">
      <formula>G49</formula>
    </cfRule>
  </conditionalFormatting>
  <conditionalFormatting sqref="G50:H50">
    <cfRule type="expression" dxfId="0" priority="1">
      <formula>FormulaInCell</formula>
    </cfRule>
  </conditionalFormatting>
  <dataValidations count="2">
    <dataValidation type="decimal" allowBlank="1" showInputMessage="1" showErrorMessage="1" error="Please enter a valid number." sqref="WSV983051:WTE983054 WIZ983051:WJI983054 VZD983051:VZM983054 VPH983051:VPQ983054 VFL983051:VFU983054 UVP983051:UVY983054 ULT983051:UMC983054 UBX983051:UCG983054 TSB983051:TSK983054 TIF983051:TIO983054 SYJ983051:SYS983054 SON983051:SOW983054 SER983051:SFA983054 RUV983051:RVE983054 RKZ983051:RLI983054 RBD983051:RBM983054 QRH983051:QRQ983054 QHL983051:QHU983054 PXP983051:PXY983054 PNT983051:POC983054 PDX983051:PEG983054 OUB983051:OUK983054 OKF983051:OKO983054 OAJ983051:OAS983054 NQN983051:NQW983054 NGR983051:NHA983054 MWV983051:MXE983054 MMZ983051:MNI983054 MDD983051:MDM983054 LTH983051:LTQ983054 LJL983051:LJU983054 KZP983051:KZY983054 KPT983051:KQC983054 KFX983051:KGG983054 JWB983051:JWK983054 JMF983051:JMO983054 JCJ983051:JCS983054 ISN983051:ISW983054 IIR983051:IJA983054 HYV983051:HZE983054 HOZ983051:HPI983054 HFD983051:HFM983054 GVH983051:GVQ983054 GLL983051:GLU983054 GBP983051:GBY983054 FRT983051:FSC983054 FHX983051:FIG983054 EYB983051:EYK983054 EOF983051:EOO983054 EEJ983051:EES983054 DUN983051:DUW983054 DKR983051:DLA983054 DAV983051:DBE983054 CQZ983051:CRI983054 CHD983051:CHM983054 BXH983051:BXQ983054 BNL983051:BNU983054 BDP983051:BDY983054 ATT983051:AUC983054 AJX983051:AKG983054 AAB983051:AAK983054 QF983051:QO983054 GJ983051:GS983054 WSV917515:WTE917518 WIZ917515:WJI917518 VZD917515:VZM917518 VPH917515:VPQ917518 VFL917515:VFU917518 UVP917515:UVY917518 ULT917515:UMC917518 UBX917515:UCG917518 TSB917515:TSK917518 TIF917515:TIO917518 SYJ917515:SYS917518 SON917515:SOW917518 SER917515:SFA917518 RUV917515:RVE917518 RKZ917515:RLI917518 RBD917515:RBM917518 QRH917515:QRQ917518 QHL917515:QHU917518 PXP917515:PXY917518 PNT917515:POC917518 PDX917515:PEG917518 OUB917515:OUK917518 OKF917515:OKO917518 OAJ917515:OAS917518 NQN917515:NQW917518 NGR917515:NHA917518 MWV917515:MXE917518 MMZ917515:MNI917518 MDD917515:MDM917518 LTH917515:LTQ917518 LJL917515:LJU917518 KZP917515:KZY917518 KPT917515:KQC917518 KFX917515:KGG917518 JWB917515:JWK917518 JMF917515:JMO917518 JCJ917515:JCS917518 ISN917515:ISW917518 IIR917515:IJA917518 HYV917515:HZE917518 HOZ917515:HPI917518 HFD917515:HFM917518 GVH917515:GVQ917518 GLL917515:GLU917518 GBP917515:GBY917518 FRT917515:FSC917518 FHX917515:FIG917518 EYB917515:EYK917518 EOF917515:EOO917518 EEJ917515:EES917518 DUN917515:DUW917518 DKR917515:DLA917518 DAV917515:DBE917518 CQZ917515:CRI917518 CHD917515:CHM917518 BXH917515:BXQ917518 BNL917515:BNU917518 BDP917515:BDY917518 ATT917515:AUC917518 AJX917515:AKG917518 AAB917515:AAK917518 QF917515:QO917518 GJ917515:GS917518 WSV851979:WTE851982 WIZ851979:WJI851982 VZD851979:VZM851982 VPH851979:VPQ851982 VFL851979:VFU851982 UVP851979:UVY851982 ULT851979:UMC851982 UBX851979:UCG851982 TSB851979:TSK851982 TIF851979:TIO851982 SYJ851979:SYS851982 SON851979:SOW851982 SER851979:SFA851982 RUV851979:RVE851982 RKZ851979:RLI851982 RBD851979:RBM851982 QRH851979:QRQ851982 QHL851979:QHU851982 PXP851979:PXY851982 PNT851979:POC851982 PDX851979:PEG851982 OUB851979:OUK851982 OKF851979:OKO851982 OAJ851979:OAS851982 NQN851979:NQW851982 NGR851979:NHA851982 MWV851979:MXE851982 MMZ851979:MNI851982 MDD851979:MDM851982 LTH851979:LTQ851982 LJL851979:LJU851982 KZP851979:KZY851982 KPT851979:KQC851982 KFX851979:KGG851982 JWB851979:JWK851982 JMF851979:JMO851982 JCJ851979:JCS851982 ISN851979:ISW851982 IIR851979:IJA851982 HYV851979:HZE851982 HOZ851979:HPI851982 HFD851979:HFM851982 GVH851979:GVQ851982 GLL851979:GLU851982 GBP851979:GBY851982 FRT851979:FSC851982 FHX851979:FIG851982 EYB851979:EYK851982 EOF851979:EOO851982 EEJ851979:EES851982 DUN851979:DUW851982 DKR851979:DLA851982 DAV851979:DBE851982 CQZ851979:CRI851982 CHD851979:CHM851982 BXH851979:BXQ851982 BNL851979:BNU851982 BDP851979:BDY851982 ATT851979:AUC851982 AJX851979:AKG851982 AAB851979:AAK851982 QF851979:QO851982 GJ851979:GS851982 WSV786443:WTE786446 WIZ786443:WJI786446 VZD786443:VZM786446 VPH786443:VPQ786446 VFL786443:VFU786446 UVP786443:UVY786446 ULT786443:UMC786446 UBX786443:UCG786446 TSB786443:TSK786446 TIF786443:TIO786446 SYJ786443:SYS786446 SON786443:SOW786446 SER786443:SFA786446 RUV786443:RVE786446 RKZ786443:RLI786446 RBD786443:RBM786446 QRH786443:QRQ786446 QHL786443:QHU786446 PXP786443:PXY786446 PNT786443:POC786446 PDX786443:PEG786446 OUB786443:OUK786446 OKF786443:OKO786446 OAJ786443:OAS786446 NQN786443:NQW786446 NGR786443:NHA786446 MWV786443:MXE786446 MMZ786443:MNI786446 MDD786443:MDM786446 LTH786443:LTQ786446 LJL786443:LJU786446 KZP786443:KZY786446 KPT786443:KQC786446 KFX786443:KGG786446 JWB786443:JWK786446 JMF786443:JMO786446 JCJ786443:JCS786446 ISN786443:ISW786446 IIR786443:IJA786446 HYV786443:HZE786446 HOZ786443:HPI786446 HFD786443:HFM786446 GVH786443:GVQ786446 GLL786443:GLU786446 GBP786443:GBY786446 FRT786443:FSC786446 FHX786443:FIG786446 EYB786443:EYK786446 EOF786443:EOO786446 EEJ786443:EES786446 DUN786443:DUW786446 DKR786443:DLA786446 DAV786443:DBE786446 CQZ786443:CRI786446 CHD786443:CHM786446 BXH786443:BXQ786446 BNL786443:BNU786446 BDP786443:BDY786446 ATT786443:AUC786446 AJX786443:AKG786446 AAB786443:AAK786446 QF786443:QO786446 GJ786443:GS786446 WSV720907:WTE720910 WIZ720907:WJI720910 VZD720907:VZM720910 VPH720907:VPQ720910 VFL720907:VFU720910 UVP720907:UVY720910 ULT720907:UMC720910 UBX720907:UCG720910 TSB720907:TSK720910 TIF720907:TIO720910 SYJ720907:SYS720910 SON720907:SOW720910 SER720907:SFA720910 RUV720907:RVE720910 RKZ720907:RLI720910 RBD720907:RBM720910 QRH720907:QRQ720910 QHL720907:QHU720910 PXP720907:PXY720910 PNT720907:POC720910 PDX720907:PEG720910 OUB720907:OUK720910 OKF720907:OKO720910 OAJ720907:OAS720910 NQN720907:NQW720910 NGR720907:NHA720910 MWV720907:MXE720910 MMZ720907:MNI720910 MDD720907:MDM720910 LTH720907:LTQ720910 LJL720907:LJU720910 KZP720907:KZY720910 KPT720907:KQC720910 KFX720907:KGG720910 JWB720907:JWK720910 JMF720907:JMO720910 JCJ720907:JCS720910 ISN720907:ISW720910 IIR720907:IJA720910 HYV720907:HZE720910 HOZ720907:HPI720910 HFD720907:HFM720910 GVH720907:GVQ720910 GLL720907:GLU720910 GBP720907:GBY720910 FRT720907:FSC720910 FHX720907:FIG720910 EYB720907:EYK720910 EOF720907:EOO720910 EEJ720907:EES720910 DUN720907:DUW720910 DKR720907:DLA720910 DAV720907:DBE720910 CQZ720907:CRI720910 CHD720907:CHM720910 BXH720907:BXQ720910 BNL720907:BNU720910 BDP720907:BDY720910 ATT720907:AUC720910 AJX720907:AKG720910 AAB720907:AAK720910 QF720907:QO720910 GJ720907:GS720910 WSV655371:WTE655374 WIZ655371:WJI655374 VZD655371:VZM655374 VPH655371:VPQ655374 VFL655371:VFU655374 UVP655371:UVY655374 ULT655371:UMC655374 UBX655371:UCG655374 TSB655371:TSK655374 TIF655371:TIO655374 SYJ655371:SYS655374 SON655371:SOW655374 SER655371:SFA655374 RUV655371:RVE655374 RKZ655371:RLI655374 RBD655371:RBM655374 QRH655371:QRQ655374 QHL655371:QHU655374 PXP655371:PXY655374 PNT655371:POC655374 PDX655371:PEG655374 OUB655371:OUK655374 OKF655371:OKO655374 OAJ655371:OAS655374 NQN655371:NQW655374 NGR655371:NHA655374 MWV655371:MXE655374 MMZ655371:MNI655374 MDD655371:MDM655374 LTH655371:LTQ655374 LJL655371:LJU655374 KZP655371:KZY655374 KPT655371:KQC655374 KFX655371:KGG655374 JWB655371:JWK655374 JMF655371:JMO655374 JCJ655371:JCS655374 ISN655371:ISW655374 IIR655371:IJA655374 HYV655371:HZE655374 HOZ655371:HPI655374 HFD655371:HFM655374 GVH655371:GVQ655374 GLL655371:GLU655374 GBP655371:GBY655374 FRT655371:FSC655374 FHX655371:FIG655374 EYB655371:EYK655374 EOF655371:EOO655374 EEJ655371:EES655374 DUN655371:DUW655374 DKR655371:DLA655374 DAV655371:DBE655374 CQZ655371:CRI655374 CHD655371:CHM655374 BXH655371:BXQ655374 BNL655371:BNU655374 BDP655371:BDY655374 ATT655371:AUC655374 AJX655371:AKG655374 AAB655371:AAK655374 QF655371:QO655374 GJ655371:GS655374 WSV589835:WTE589838 WIZ589835:WJI589838 VZD589835:VZM589838 VPH589835:VPQ589838 VFL589835:VFU589838 UVP589835:UVY589838 ULT589835:UMC589838 UBX589835:UCG589838 TSB589835:TSK589838 TIF589835:TIO589838 SYJ589835:SYS589838 SON589835:SOW589838 SER589835:SFA589838 RUV589835:RVE589838 RKZ589835:RLI589838 RBD589835:RBM589838 QRH589835:QRQ589838 QHL589835:QHU589838 PXP589835:PXY589838 PNT589835:POC589838 PDX589835:PEG589838 OUB589835:OUK589838 OKF589835:OKO589838 OAJ589835:OAS589838 NQN589835:NQW589838 NGR589835:NHA589838 MWV589835:MXE589838 MMZ589835:MNI589838 MDD589835:MDM589838 LTH589835:LTQ589838 LJL589835:LJU589838 KZP589835:KZY589838 KPT589835:KQC589838 KFX589835:KGG589838 JWB589835:JWK589838 JMF589835:JMO589838 JCJ589835:JCS589838 ISN589835:ISW589838 IIR589835:IJA589838 HYV589835:HZE589838 HOZ589835:HPI589838 HFD589835:HFM589838 GVH589835:GVQ589838 GLL589835:GLU589838 GBP589835:GBY589838 FRT589835:FSC589838 FHX589835:FIG589838 EYB589835:EYK589838 EOF589835:EOO589838 EEJ589835:EES589838 DUN589835:DUW589838 DKR589835:DLA589838 DAV589835:DBE589838 CQZ589835:CRI589838 CHD589835:CHM589838 BXH589835:BXQ589838 BNL589835:BNU589838 BDP589835:BDY589838 ATT589835:AUC589838 AJX589835:AKG589838 AAB589835:AAK589838 QF589835:QO589838 GJ589835:GS589838 WSV524299:WTE524302 WIZ524299:WJI524302 VZD524299:VZM524302 VPH524299:VPQ524302 VFL524299:VFU524302 UVP524299:UVY524302 ULT524299:UMC524302 UBX524299:UCG524302 TSB524299:TSK524302 TIF524299:TIO524302 SYJ524299:SYS524302 SON524299:SOW524302 SER524299:SFA524302 RUV524299:RVE524302 RKZ524299:RLI524302 RBD524299:RBM524302 QRH524299:QRQ524302 QHL524299:QHU524302 PXP524299:PXY524302 PNT524299:POC524302 PDX524299:PEG524302 OUB524299:OUK524302 OKF524299:OKO524302 OAJ524299:OAS524302 NQN524299:NQW524302 NGR524299:NHA524302 MWV524299:MXE524302 MMZ524299:MNI524302 MDD524299:MDM524302 LTH524299:LTQ524302 LJL524299:LJU524302 KZP524299:KZY524302 KPT524299:KQC524302 KFX524299:KGG524302 JWB524299:JWK524302 JMF524299:JMO524302 JCJ524299:JCS524302 ISN524299:ISW524302 IIR524299:IJA524302 HYV524299:HZE524302 HOZ524299:HPI524302 HFD524299:HFM524302 GVH524299:GVQ524302 GLL524299:GLU524302 GBP524299:GBY524302 FRT524299:FSC524302 FHX524299:FIG524302 EYB524299:EYK524302 EOF524299:EOO524302 EEJ524299:EES524302 DUN524299:DUW524302 DKR524299:DLA524302 DAV524299:DBE524302 CQZ524299:CRI524302 CHD524299:CHM524302 BXH524299:BXQ524302 BNL524299:BNU524302 BDP524299:BDY524302 ATT524299:AUC524302 AJX524299:AKG524302 AAB524299:AAK524302 QF524299:QO524302 GJ524299:GS524302 WSV458763:WTE458766 WIZ458763:WJI458766 VZD458763:VZM458766 VPH458763:VPQ458766 VFL458763:VFU458766 UVP458763:UVY458766 ULT458763:UMC458766 UBX458763:UCG458766 TSB458763:TSK458766 TIF458763:TIO458766 SYJ458763:SYS458766 SON458763:SOW458766 SER458763:SFA458766 RUV458763:RVE458766 RKZ458763:RLI458766 RBD458763:RBM458766 QRH458763:QRQ458766 QHL458763:QHU458766 PXP458763:PXY458766 PNT458763:POC458766 PDX458763:PEG458766 OUB458763:OUK458766 OKF458763:OKO458766 OAJ458763:OAS458766 NQN458763:NQW458766 NGR458763:NHA458766 MWV458763:MXE458766 MMZ458763:MNI458766 MDD458763:MDM458766 LTH458763:LTQ458766 LJL458763:LJU458766 KZP458763:KZY458766 KPT458763:KQC458766 KFX458763:KGG458766 JWB458763:JWK458766 JMF458763:JMO458766 JCJ458763:JCS458766 ISN458763:ISW458766 IIR458763:IJA458766 HYV458763:HZE458766 HOZ458763:HPI458766 HFD458763:HFM458766 GVH458763:GVQ458766 GLL458763:GLU458766 GBP458763:GBY458766 FRT458763:FSC458766 FHX458763:FIG458766 EYB458763:EYK458766 EOF458763:EOO458766 EEJ458763:EES458766 DUN458763:DUW458766 DKR458763:DLA458766 DAV458763:DBE458766 CQZ458763:CRI458766 CHD458763:CHM458766 BXH458763:BXQ458766 BNL458763:BNU458766 BDP458763:BDY458766 ATT458763:AUC458766 AJX458763:AKG458766 AAB458763:AAK458766 QF458763:QO458766 GJ458763:GS458766 WSV393227:WTE393230 WIZ393227:WJI393230 VZD393227:VZM393230 VPH393227:VPQ393230 VFL393227:VFU393230 UVP393227:UVY393230 ULT393227:UMC393230 UBX393227:UCG393230 TSB393227:TSK393230 TIF393227:TIO393230 SYJ393227:SYS393230 SON393227:SOW393230 SER393227:SFA393230 RUV393227:RVE393230 RKZ393227:RLI393230 RBD393227:RBM393230 QRH393227:QRQ393230 QHL393227:QHU393230 PXP393227:PXY393230 PNT393227:POC393230 PDX393227:PEG393230 OUB393227:OUK393230 OKF393227:OKO393230 OAJ393227:OAS393230 NQN393227:NQW393230 NGR393227:NHA393230 MWV393227:MXE393230 MMZ393227:MNI393230 MDD393227:MDM393230 LTH393227:LTQ393230 LJL393227:LJU393230 KZP393227:KZY393230 KPT393227:KQC393230 KFX393227:KGG393230 JWB393227:JWK393230 JMF393227:JMO393230 JCJ393227:JCS393230 ISN393227:ISW393230 IIR393227:IJA393230 HYV393227:HZE393230 HOZ393227:HPI393230 HFD393227:HFM393230 GVH393227:GVQ393230 GLL393227:GLU393230 GBP393227:GBY393230 FRT393227:FSC393230 FHX393227:FIG393230 EYB393227:EYK393230 EOF393227:EOO393230 EEJ393227:EES393230 DUN393227:DUW393230 DKR393227:DLA393230 DAV393227:DBE393230 CQZ393227:CRI393230 CHD393227:CHM393230 BXH393227:BXQ393230 BNL393227:BNU393230 BDP393227:BDY393230 ATT393227:AUC393230 AJX393227:AKG393230 AAB393227:AAK393230 QF393227:QO393230 GJ393227:GS393230 WSV327691:WTE327694 WIZ327691:WJI327694 VZD327691:VZM327694 VPH327691:VPQ327694 VFL327691:VFU327694 UVP327691:UVY327694 ULT327691:UMC327694 UBX327691:UCG327694 TSB327691:TSK327694 TIF327691:TIO327694 SYJ327691:SYS327694 SON327691:SOW327694 SER327691:SFA327694 RUV327691:RVE327694 RKZ327691:RLI327694 RBD327691:RBM327694 QRH327691:QRQ327694 QHL327691:QHU327694 PXP327691:PXY327694 PNT327691:POC327694 PDX327691:PEG327694 OUB327691:OUK327694 OKF327691:OKO327694 OAJ327691:OAS327694 NQN327691:NQW327694 NGR327691:NHA327694 MWV327691:MXE327694 MMZ327691:MNI327694 MDD327691:MDM327694 LTH327691:LTQ327694 LJL327691:LJU327694 KZP327691:KZY327694 KPT327691:KQC327694 KFX327691:KGG327694 JWB327691:JWK327694 JMF327691:JMO327694 JCJ327691:JCS327694 ISN327691:ISW327694 IIR327691:IJA327694 HYV327691:HZE327694 HOZ327691:HPI327694 HFD327691:HFM327694 GVH327691:GVQ327694 GLL327691:GLU327694 GBP327691:GBY327694 FRT327691:FSC327694 FHX327691:FIG327694 EYB327691:EYK327694 EOF327691:EOO327694 EEJ327691:EES327694 DUN327691:DUW327694 DKR327691:DLA327694 DAV327691:DBE327694 CQZ327691:CRI327694 CHD327691:CHM327694 BXH327691:BXQ327694 BNL327691:BNU327694 BDP327691:BDY327694 ATT327691:AUC327694 AJX327691:AKG327694 AAB327691:AAK327694 QF327691:QO327694 GJ327691:GS327694 WSV262155:WTE262158 WIZ262155:WJI262158 VZD262155:VZM262158 VPH262155:VPQ262158 VFL262155:VFU262158 UVP262155:UVY262158 ULT262155:UMC262158 UBX262155:UCG262158 TSB262155:TSK262158 TIF262155:TIO262158 SYJ262155:SYS262158 SON262155:SOW262158 SER262155:SFA262158 RUV262155:RVE262158 RKZ262155:RLI262158 RBD262155:RBM262158 QRH262155:QRQ262158 QHL262155:QHU262158 PXP262155:PXY262158 PNT262155:POC262158 PDX262155:PEG262158 OUB262155:OUK262158 OKF262155:OKO262158 OAJ262155:OAS262158 NQN262155:NQW262158 NGR262155:NHA262158 MWV262155:MXE262158 MMZ262155:MNI262158 MDD262155:MDM262158 LTH262155:LTQ262158 LJL262155:LJU262158 KZP262155:KZY262158 KPT262155:KQC262158 KFX262155:KGG262158 JWB262155:JWK262158 JMF262155:JMO262158 JCJ262155:JCS262158 ISN262155:ISW262158 IIR262155:IJA262158 HYV262155:HZE262158 HOZ262155:HPI262158 HFD262155:HFM262158 GVH262155:GVQ262158 GLL262155:GLU262158 GBP262155:GBY262158 FRT262155:FSC262158 FHX262155:FIG262158 EYB262155:EYK262158 EOF262155:EOO262158 EEJ262155:EES262158 DUN262155:DUW262158 DKR262155:DLA262158 DAV262155:DBE262158 CQZ262155:CRI262158 CHD262155:CHM262158 BXH262155:BXQ262158 BNL262155:BNU262158 BDP262155:BDY262158 ATT262155:AUC262158 AJX262155:AKG262158 AAB262155:AAK262158 QF262155:QO262158 GJ262155:GS262158 WSV196619:WTE196622 WIZ196619:WJI196622 VZD196619:VZM196622 VPH196619:VPQ196622 VFL196619:VFU196622 UVP196619:UVY196622 ULT196619:UMC196622 UBX196619:UCG196622 TSB196619:TSK196622 TIF196619:TIO196622 SYJ196619:SYS196622 SON196619:SOW196622 SER196619:SFA196622 RUV196619:RVE196622 RKZ196619:RLI196622 RBD196619:RBM196622 QRH196619:QRQ196622 QHL196619:QHU196622 PXP196619:PXY196622 PNT196619:POC196622 PDX196619:PEG196622 OUB196619:OUK196622 OKF196619:OKO196622 OAJ196619:OAS196622 NQN196619:NQW196622 NGR196619:NHA196622 MWV196619:MXE196622 MMZ196619:MNI196622 MDD196619:MDM196622 LTH196619:LTQ196622 LJL196619:LJU196622 KZP196619:KZY196622 KPT196619:KQC196622 KFX196619:KGG196622 JWB196619:JWK196622 JMF196619:JMO196622 JCJ196619:JCS196622 ISN196619:ISW196622 IIR196619:IJA196622 HYV196619:HZE196622 HOZ196619:HPI196622 HFD196619:HFM196622 GVH196619:GVQ196622 GLL196619:GLU196622 GBP196619:GBY196622 FRT196619:FSC196622 FHX196619:FIG196622 EYB196619:EYK196622 EOF196619:EOO196622 EEJ196619:EES196622 DUN196619:DUW196622 DKR196619:DLA196622 DAV196619:DBE196622 CQZ196619:CRI196622 CHD196619:CHM196622 BXH196619:BXQ196622 BNL196619:BNU196622 BDP196619:BDY196622 ATT196619:AUC196622 AJX196619:AKG196622 AAB196619:AAK196622 QF196619:QO196622 GJ196619:GS196622 WSV131083:WTE131086 WIZ131083:WJI131086 VZD131083:VZM131086 VPH131083:VPQ131086 VFL131083:VFU131086 UVP131083:UVY131086 ULT131083:UMC131086 UBX131083:UCG131086 TSB131083:TSK131086 TIF131083:TIO131086 SYJ131083:SYS131086 SON131083:SOW131086 SER131083:SFA131086 RUV131083:RVE131086 RKZ131083:RLI131086 RBD131083:RBM131086 QRH131083:QRQ131086 QHL131083:QHU131086 PXP131083:PXY131086 PNT131083:POC131086 PDX131083:PEG131086 OUB131083:OUK131086 OKF131083:OKO131086 OAJ131083:OAS131086 NQN131083:NQW131086 NGR131083:NHA131086 MWV131083:MXE131086 MMZ131083:MNI131086 MDD131083:MDM131086 LTH131083:LTQ131086 LJL131083:LJU131086 KZP131083:KZY131086 KPT131083:KQC131086 KFX131083:KGG131086 JWB131083:JWK131086 JMF131083:JMO131086 JCJ131083:JCS131086 ISN131083:ISW131086 IIR131083:IJA131086 HYV131083:HZE131086 HOZ131083:HPI131086 HFD131083:HFM131086 GVH131083:GVQ131086 GLL131083:GLU131086 GBP131083:GBY131086 FRT131083:FSC131086 FHX131083:FIG131086 EYB131083:EYK131086 EOF131083:EOO131086 EEJ131083:EES131086 DUN131083:DUW131086 DKR131083:DLA131086 DAV131083:DBE131086 CQZ131083:CRI131086 CHD131083:CHM131086 BXH131083:BXQ131086 BNL131083:BNU131086 BDP131083:BDY131086 ATT131083:AUC131086 AJX131083:AKG131086 AAB131083:AAK131086 QF131083:QO131086 GJ131083:GS131086 WSV65547:WTE65550 WIZ65547:WJI65550 VZD65547:VZM65550 VPH65547:VPQ65550 VFL65547:VFU65550 UVP65547:UVY65550 ULT65547:UMC65550 UBX65547:UCG65550 TSB65547:TSK65550 TIF65547:TIO65550 SYJ65547:SYS65550 SON65547:SOW65550 SER65547:SFA65550 RUV65547:RVE65550 RKZ65547:RLI65550 RBD65547:RBM65550 QRH65547:QRQ65550 QHL65547:QHU65550 PXP65547:PXY65550 PNT65547:POC65550 PDX65547:PEG65550 OUB65547:OUK65550 OKF65547:OKO65550 OAJ65547:OAS65550 NQN65547:NQW65550 NGR65547:NHA65550 MWV65547:MXE65550 MMZ65547:MNI65550 MDD65547:MDM65550 LTH65547:LTQ65550 LJL65547:LJU65550 KZP65547:KZY65550 KPT65547:KQC65550 KFX65547:KGG65550 JWB65547:JWK65550 JMF65547:JMO65550 JCJ65547:JCS65550 ISN65547:ISW65550 IIR65547:IJA65550 HYV65547:HZE65550 HOZ65547:HPI65550 HFD65547:HFM65550 GVH65547:GVQ65550 GLL65547:GLU65550 GBP65547:GBY65550 FRT65547:FSC65550 FHX65547:FIG65550 EYB65547:EYK65550 EOF65547:EOO65550 EEJ65547:EES65550 DUN65547:DUW65550 DKR65547:DLA65550 DAV65547:DBE65550 CQZ65547:CRI65550 CHD65547:CHM65550 BXH65547:BXQ65550 BNL65547:BNU65550 BDP65547:BDY65550 ATT65547:AUC65550 AJX65547:AKG65550 AAB65547:AAK65550 QF65547:QO65550 GJ65547:GS65550 O983051:W983054 O917515:W917518 O851979:W851982 O786443:W786446 O720907:W720910 O655371:W655374 O589835:W589838 O524299:W524302 O458763:W458766 O393227:W393230 O327691:W327694 O262155:W262158 O196619:W196622 O131083:W131086 O65547:W65550">
      <formula1>-100000000</formula1>
      <formula2>100000000</formula2>
    </dataValidation>
    <dataValidation type="list" allowBlank="1" showInputMessage="1" showErrorMessage="1" sqref="G4:G8 H3:H28 G11:G28 G29:H59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H20" sqref="H20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David</cp:lastModifiedBy>
  <dcterms:created xsi:type="dcterms:W3CDTF">2009-04-24T00:02:24Z</dcterms:created>
  <dcterms:modified xsi:type="dcterms:W3CDTF">2013-06-02T15:34:48Z</dcterms:modified>
</cp:coreProperties>
</file>