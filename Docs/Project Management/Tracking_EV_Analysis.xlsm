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N3" i="2" l="1"/>
  <c r="O51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L38" i="2" a="1"/>
  <c r="L38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L31" i="2" a="1"/>
  <c r="L31" i="2" s="1"/>
  <c r="L32" i="2" a="1"/>
  <c r="L32" i="2" s="1"/>
  <c r="L33" i="2" a="1"/>
  <c r="L33" i="2" s="1"/>
  <c r="L34" i="2" a="1"/>
  <c r="L34" i="2" s="1"/>
  <c r="L35" i="2" a="1"/>
  <c r="L35" i="2" s="1"/>
  <c r="L36" i="2" a="1"/>
  <c r="L36" i="2" s="1"/>
  <c r="L37" i="2" a="1"/>
  <c r="L37" i="2" s="1"/>
  <c r="L7" i="2" a="1"/>
  <c r="L7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7" i="2" l="1"/>
  <c r="Q3" i="2"/>
  <c r="R3" i="2" s="1"/>
  <c r="S3" i="2" s="1"/>
  <c r="L4" i="2" a="1"/>
  <c r="L4" i="2" s="1"/>
  <c r="N4" i="2"/>
  <c r="N5" i="2"/>
  <c r="N6" i="2"/>
  <c r="N8" i="2"/>
  <c r="N9" i="2"/>
  <c r="N10" i="2"/>
  <c r="N11" i="2"/>
  <c r="L5" i="2" a="1"/>
  <c r="L5" i="2" s="1"/>
  <c r="L6" i="2" a="1"/>
  <c r="L6" i="2" s="1"/>
  <c r="L8" i="2" a="1"/>
  <c r="L8" i="2" s="1"/>
  <c r="L9" i="2" a="1"/>
  <c r="L9" i="2" s="1"/>
  <c r="L10" i="2" a="1"/>
  <c r="L10" i="2" s="1"/>
  <c r="L11" i="2" a="1"/>
  <c r="L11" i="2" s="1"/>
  <c r="O46" i="2" l="1"/>
  <c r="W42" i="2"/>
  <c r="O4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G39" i="2"/>
  <c r="O2" i="2"/>
  <c r="H39" i="2"/>
  <c r="P15" i="2"/>
  <c r="Q15" i="2" s="1"/>
  <c r="P16" i="2"/>
  <c r="P31" i="2"/>
  <c r="S31" i="2" s="1"/>
  <c r="T31" i="2" s="1"/>
  <c r="U31" i="2" s="1"/>
  <c r="V31" i="2" s="1"/>
  <c r="W31" i="2" s="1"/>
  <c r="P32" i="2"/>
  <c r="Q32" i="2" s="1"/>
  <c r="R32" i="2" s="1"/>
  <c r="S32" i="2" s="1"/>
  <c r="T32" i="2" s="1"/>
  <c r="U32" i="2" s="1"/>
  <c r="V32" i="2" s="1"/>
  <c r="W32" i="2" s="1"/>
  <c r="P33" i="2"/>
  <c r="Q33" i="2" s="1"/>
  <c r="R33" i="2" s="1"/>
  <c r="S33" i="2" s="1"/>
  <c r="T33" i="2" s="1"/>
  <c r="U33" i="2" s="1"/>
  <c r="V33" i="2" s="1"/>
  <c r="W33" i="2" s="1"/>
  <c r="P34" i="2"/>
  <c r="Q34" i="2" s="1"/>
  <c r="R34" i="2" s="1"/>
  <c r="S34" i="2" s="1"/>
  <c r="T34" i="2" s="1"/>
  <c r="U34" i="2" s="1"/>
  <c r="V34" i="2" s="1"/>
  <c r="W34" i="2" s="1"/>
  <c r="P35" i="2"/>
  <c r="Q35" i="2" s="1"/>
  <c r="R35" i="2" s="1"/>
  <c r="S35" i="2" s="1"/>
  <c r="T35" i="2" s="1"/>
  <c r="U35" i="2" s="1"/>
  <c r="V35" i="2" s="1"/>
  <c r="W35" i="2" s="1"/>
  <c r="P36" i="2"/>
  <c r="Q36" i="2" s="1"/>
  <c r="R36" i="2" s="1"/>
  <c r="S36" i="2" s="1"/>
  <c r="T36" i="2" s="1"/>
  <c r="U36" i="2" s="1"/>
  <c r="V36" i="2" s="1"/>
  <c r="W36" i="2" s="1"/>
  <c r="P37" i="2"/>
  <c r="Q37" i="2" s="1"/>
  <c r="R37" i="2" s="1"/>
  <c r="S37" i="2" s="1"/>
  <c r="T37" i="2" s="1"/>
  <c r="U37" i="2" s="1"/>
  <c r="V37" i="2" s="1"/>
  <c r="O57" i="2"/>
  <c r="P57" i="2"/>
  <c r="Q57" i="2"/>
  <c r="R57" i="2"/>
  <c r="S57" i="2"/>
  <c r="T57" i="2"/>
  <c r="U57" i="2"/>
  <c r="V57" i="2"/>
  <c r="W57" i="2"/>
  <c r="P39" i="2"/>
  <c r="N42" i="2" l="1"/>
  <c r="T14" i="2"/>
  <c r="T3" i="2"/>
  <c r="W12" i="2"/>
  <c r="W37" i="2"/>
  <c r="W13" i="2"/>
  <c r="N57" i="2"/>
  <c r="Q39" i="2"/>
  <c r="R39" i="2" s="1"/>
  <c r="K43" i="2"/>
  <c r="S39" i="2" l="1"/>
  <c r="T39" i="2" s="1"/>
  <c r="U39" i="2" s="1"/>
  <c r="V39" i="2" s="1"/>
  <c r="W39" i="2" s="1"/>
  <c r="N39" i="2" s="1"/>
  <c r="U14" i="2"/>
  <c r="U3" i="2"/>
  <c r="M39" i="2" l="1"/>
  <c r="L39" i="2" a="1"/>
  <c r="L39" i="2" s="1"/>
  <c r="V14" i="2"/>
  <c r="V3" i="2"/>
  <c r="W14" i="2" l="1"/>
  <c r="W3" i="2"/>
  <c r="O50" i="2"/>
  <c r="O56" i="2"/>
  <c r="P38" i="2"/>
  <c r="P40" i="2" s="1"/>
  <c r="O45" i="2" l="1"/>
  <c r="P46" i="2"/>
  <c r="Q38" i="2"/>
  <c r="Q56" i="2"/>
  <c r="P50" i="2"/>
  <c r="O58" i="2"/>
  <c r="N13" i="2"/>
  <c r="N35" i="2"/>
  <c r="N33" i="2"/>
  <c r="N32" i="2"/>
  <c r="N15" i="2"/>
  <c r="P51" i="2"/>
  <c r="P56" i="2"/>
  <c r="P45" i="2" l="1"/>
  <c r="Q40" i="2"/>
  <c r="Q46" i="2"/>
  <c r="Q50" i="2"/>
  <c r="R38" i="2"/>
  <c r="P58" i="2"/>
  <c r="R56" i="2"/>
  <c r="N34" i="2"/>
  <c r="N37" i="2"/>
  <c r="Q51" i="2"/>
  <c r="R50" i="2"/>
  <c r="N16" i="2"/>
  <c r="N36" i="2"/>
  <c r="Q58" i="2" l="1"/>
  <c r="Q45" i="2"/>
  <c r="R40" i="2"/>
  <c r="R46" i="2"/>
  <c r="S38" i="2"/>
  <c r="S50" i="2" s="1"/>
  <c r="S56" i="2"/>
  <c r="R51" i="2"/>
  <c r="R58" i="2" s="1"/>
  <c r="R45" i="2" l="1"/>
  <c r="S40" i="2"/>
  <c r="T38" i="2"/>
  <c r="T40" i="2" s="1"/>
  <c r="S51" i="2"/>
  <c r="S58" i="2" s="1"/>
  <c r="T56" i="2"/>
  <c r="T50" i="2" l="1"/>
  <c r="U38" i="2"/>
  <c r="U40" i="2" s="1"/>
  <c r="U50" i="2"/>
  <c r="U56" i="2"/>
  <c r="T51" i="2"/>
  <c r="T58" i="2" l="1"/>
  <c r="V38" i="2"/>
  <c r="V40" i="2" s="1"/>
  <c r="V56" i="2"/>
  <c r="U51" i="2"/>
  <c r="U58" i="2" s="1"/>
  <c r="V50" i="2" l="1"/>
  <c r="W38" i="2"/>
  <c r="W40" i="2" s="1"/>
  <c r="N14" i="2"/>
  <c r="V51" i="2"/>
  <c r="V58" i="2" l="1"/>
  <c r="W50" i="2"/>
  <c r="N38" i="2"/>
  <c r="W51" i="2"/>
  <c r="W58" i="2" l="1"/>
  <c r="N56" i="2"/>
  <c r="N31" i="2"/>
  <c r="N50" i="2" l="1"/>
  <c r="N51" i="2"/>
  <c r="N12" i="2"/>
  <c r="N58" i="2" l="1"/>
  <c r="P2" i="2" l="1"/>
  <c r="L12" i="2" a="1"/>
  <c r="L12" i="2" s="1"/>
  <c r="M3" i="2"/>
  <c r="O49" i="2"/>
  <c r="L3" i="2" a="1"/>
  <c r="L3" i="2" s="1"/>
  <c r="O42" i="2" l="1"/>
  <c r="O43" i="2" s="1"/>
  <c r="L13" i="2" a="1"/>
  <c r="L13" i="2" s="1"/>
  <c r="Q2" i="2"/>
  <c r="P49" i="2"/>
  <c r="P42" i="2" l="1"/>
  <c r="P43" i="2" s="1"/>
  <c r="L16" i="2" a="1"/>
  <c r="L16" i="2" s="1"/>
  <c r="L14" i="2" a="1"/>
  <c r="L14" i="2" s="1"/>
  <c r="Q49" i="2"/>
  <c r="R2" i="2"/>
  <c r="Q42" i="2" s="1"/>
  <c r="Q43" i="2" l="1"/>
  <c r="M63" i="2"/>
  <c r="S2" i="2"/>
  <c r="R49" i="2"/>
  <c r="R42" i="2" l="1"/>
  <c r="R43" i="2" s="1"/>
  <c r="T2" i="2"/>
  <c r="S49" i="2"/>
  <c r="S42" i="2" l="1"/>
  <c r="S43" i="2" s="1"/>
  <c r="T49" i="2"/>
  <c r="U2" i="2"/>
  <c r="T42" i="2" l="1"/>
  <c r="T43" i="2" s="1"/>
  <c r="V2" i="2"/>
  <c r="L15" i="2" a="1"/>
  <c r="L15" i="2" s="1"/>
  <c r="U49" i="2"/>
  <c r="W2" i="2" l="1"/>
  <c r="J40" i="2" s="1"/>
  <c r="U42" i="2"/>
  <c r="U43" i="2" s="1"/>
  <c r="V49" i="2"/>
  <c r="V42" i="2" l="1"/>
  <c r="K41" i="2"/>
  <c r="G38" i="2" l="1"/>
  <c r="H38" i="2" s="1"/>
  <c r="J43" i="2" l="1"/>
  <c r="N44" i="2"/>
  <c r="O44" i="2" s="1" a="1"/>
  <c r="O44" i="2" s="1"/>
  <c r="P44" i="2" s="1" a="1"/>
  <c r="P44" i="2" s="1"/>
  <c r="Q44" i="2" s="1" a="1"/>
  <c r="Q44" i="2" s="1"/>
  <c r="R44" i="2" s="1" a="1"/>
  <c r="R44" i="2" s="1"/>
  <c r="S44" i="2" s="1" a="1"/>
  <c r="S44" i="2" s="1"/>
  <c r="T44" i="2" s="1" a="1"/>
  <c r="T44" i="2" s="1"/>
  <c r="U44" i="2" s="1" a="1"/>
  <c r="U44" i="2" s="1"/>
</calcChain>
</file>

<file path=xl/comments1.xml><?xml version="1.0" encoding="utf-8"?>
<comments xmlns="http://schemas.openxmlformats.org/spreadsheetml/2006/main">
  <authors>
    <author>João Cunha</author>
  </authors>
  <commentList>
    <comment ref="J4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4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<sst xmlns="http://schemas.openxmlformats.org/spreadsheetml/2006/main" count="215" uniqueCount="125">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</sst>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Tracking'!$C$43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Tracking'!$N$43:$W$43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Tracking'!$C$44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Tracking'!$N$44:$W$44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26</c:v>
                </c:pt>
                <c:pt idx="3">
                  <c:v>75.75</c:v>
                </c:pt>
                <c:pt idx="4">
                  <c:v>135.75</c:v>
                </c:pt>
                <c:pt idx="5">
                  <c:v>183.75</c:v>
                </c:pt>
                <c:pt idx="6">
                  <c:v>220.75</c:v>
                </c:pt>
                <c:pt idx="7">
                  <c:v>254.75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Tracking'!$C$45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Tracking'!$N$45:$W$45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Tracking'!$C$46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Tracking'!$N$46:$W$46</c:f>
              <c:numCache>
                <c:formatCode>General</c:formatCode>
                <c:ptCount val="10"/>
                <c:pt idx="0">
                  <c:v>0</c:v>
                </c:pt>
                <c:pt idx="1">
                  <c:v>15.75</c:v>
                </c:pt>
                <c:pt idx="2">
                  <c:v>15.75</c:v>
                </c:pt>
                <c:pt idx="3">
                  <c:v>15.75</c:v>
                </c:pt>
                <c:pt idx="4">
                  <c:v>15.75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94928"/>
        <c:axId val="92295488"/>
      </c:lineChart>
      <c:catAx>
        <c:axId val="92294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2295488"/>
        <c:crosses val="autoZero"/>
        <c:auto val="0"/>
        <c:lblAlgn val="ctr"/>
        <c:lblOffset val="100"/>
        <c:noMultiLvlLbl val="0"/>
      </c:catAx>
      <c:valAx>
        <c:axId val="922954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294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7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P7" sqref="P7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9" t="s">
        <v>69</v>
      </c>
      <c r="D3" s="69" t="s">
        <v>70</v>
      </c>
      <c r="E3" s="69" t="s">
        <v>17</v>
      </c>
      <c r="F3" s="90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3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W39" si="2">IF(ISNUMBER(P3)," ",IF(P3="X","X"," "))</f>
        <v>X</v>
      </c>
      <c r="R3" s="51" t="str">
        <f t="shared" si="2"/>
        <v>X</v>
      </c>
      <c r="S3" s="51" t="str">
        <f t="shared" ref="S3:T39" si="3">IF(ISNUMBER(R3)," ",IF(R3="X","X"," "))</f>
        <v>X</v>
      </c>
      <c r="T3" s="51" t="str">
        <f t="shared" si="3"/>
        <v>X</v>
      </c>
      <c r="U3" s="51" t="str">
        <f t="shared" ref="U3:U39" si="4">IF(ISNUMBER(T3)," ",IF(T3="X","X"," "))</f>
        <v>X</v>
      </c>
      <c r="V3" s="51" t="str">
        <f t="shared" si="2"/>
        <v>X</v>
      </c>
      <c r="W3" s="51" t="str">
        <f t="shared" si="2"/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9" t="s">
        <v>69</v>
      </c>
      <c r="D4" s="69" t="s">
        <v>71</v>
      </c>
      <c r="E4" s="69"/>
      <c r="F4" s="90" t="s">
        <v>113</v>
      </c>
      <c r="G4" s="45">
        <v>41372</v>
      </c>
      <c r="H4" s="45">
        <v>41379</v>
      </c>
      <c r="I4" s="77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41372</v>
      </c>
      <c r="N4" s="56">
        <f t="shared" ref="N3:N39" si="5">SUM(O4:CG4)</f>
        <v>10.5</v>
      </c>
      <c r="O4" s="51">
        <v>10.5</v>
      </c>
      <c r="P4" s="51" t="s">
        <v>123</v>
      </c>
      <c r="Q4" s="51"/>
      <c r="R4" s="51"/>
      <c r="S4" s="51"/>
      <c r="T4" s="51"/>
      <c r="U4" s="51"/>
      <c r="V4" s="51"/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9" t="s">
        <v>69</v>
      </c>
      <c r="D5" s="69" t="s">
        <v>72</v>
      </c>
      <c r="E5" s="69"/>
      <c r="F5" s="90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5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9" t="s">
        <v>69</v>
      </c>
      <c r="D6" s="69" t="s">
        <v>73</v>
      </c>
      <c r="E6" s="69"/>
      <c r="F6" s="90" t="s">
        <v>114</v>
      </c>
      <c r="G6" s="45">
        <v>41372</v>
      </c>
      <c r="H6" s="45">
        <v>41393</v>
      </c>
      <c r="I6" s="77">
        <v>1</v>
      </c>
      <c r="J6" s="43">
        <v>3</v>
      </c>
      <c r="K6" s="3">
        <v>20</v>
      </c>
      <c r="L6" s="55" t="str">
        <f t="array" ref="L6">IF(ISNA(INDEX($O$2:$DA$2,1,MATCH(1,IF($O6:$DM6,1),0))),"",INDEX($O$2:$DA$2,1,MATCH(1,IF($O6:$DM6,1),0)))</f>
        <v/>
      </c>
      <c r="M6" s="55" t="str">
        <f t="shared" si="1"/>
        <v/>
      </c>
      <c r="N6" s="56">
        <f t="shared" si="5"/>
        <v>0</v>
      </c>
      <c r="O6" s="51"/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9" t="s">
        <v>69</v>
      </c>
      <c r="D7" s="69" t="s">
        <v>110</v>
      </c>
      <c r="E7" s="69" t="s">
        <v>109</v>
      </c>
      <c r="F7" s="90" t="s">
        <v>115</v>
      </c>
      <c r="G7" s="45">
        <v>41379</v>
      </c>
      <c r="H7" s="45">
        <v>41393</v>
      </c>
      <c r="I7" s="77">
        <v>1</v>
      </c>
      <c r="J7" s="43">
        <v>1</v>
      </c>
      <c r="K7" s="3">
        <v>13</v>
      </c>
      <c r="L7" s="55" t="str">
        <f t="array" ref="L7">IF(ISNA(INDEX($O$2:$DA$2,1,MATCH(1,IF($O7:$DM7,1),0))),"",INDEX($O$2:$DA$2,1,MATCH(1,IF($O7:$DM7,1),0)))</f>
        <v/>
      </c>
      <c r="M7" s="55" t="str">
        <f t="shared" si="1"/>
        <v/>
      </c>
      <c r="N7" s="56">
        <f t="shared" si="5"/>
        <v>0</v>
      </c>
      <c r="O7" s="51"/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9" t="s">
        <v>69</v>
      </c>
      <c r="D8" s="69" t="s">
        <v>74</v>
      </c>
      <c r="E8" s="69" t="s">
        <v>75</v>
      </c>
      <c r="F8" s="90" t="s">
        <v>122</v>
      </c>
      <c r="G8" s="45">
        <v>41386</v>
      </c>
      <c r="H8" s="45">
        <v>41393</v>
      </c>
      <c r="I8" s="77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5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9" t="s">
        <v>69</v>
      </c>
      <c r="D9" s="69" t="s">
        <v>74</v>
      </c>
      <c r="E9" s="69" t="s">
        <v>76</v>
      </c>
      <c r="F9" s="90" t="s">
        <v>122</v>
      </c>
      <c r="G9" s="45">
        <v>41393</v>
      </c>
      <c r="H9" s="45">
        <v>41407</v>
      </c>
      <c r="I9" s="77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5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9" t="s">
        <v>69</v>
      </c>
      <c r="D10" s="69" t="s">
        <v>74</v>
      </c>
      <c r="E10" s="70" t="s">
        <v>77</v>
      </c>
      <c r="F10" s="90" t="s">
        <v>116</v>
      </c>
      <c r="G10" s="45">
        <v>41393</v>
      </c>
      <c r="H10" s="45">
        <v>41407</v>
      </c>
      <c r="I10" s="77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5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3">
        <v>9</v>
      </c>
      <c r="C11" s="74" t="s">
        <v>69</v>
      </c>
      <c r="D11" s="75" t="s">
        <v>78</v>
      </c>
      <c r="E11" s="75"/>
      <c r="F11" s="90" t="s">
        <v>117</v>
      </c>
      <c r="G11" s="83">
        <v>41393</v>
      </c>
      <c r="H11" s="83">
        <v>41407</v>
      </c>
      <c r="I11" s="77">
        <v>7</v>
      </c>
      <c r="J11" s="84">
        <v>1</v>
      </c>
      <c r="K11" s="85">
        <v>10</v>
      </c>
      <c r="L11" s="86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7">
        <f t="shared" si="5"/>
        <v>0</v>
      </c>
      <c r="O11" s="88"/>
      <c r="P11" s="88"/>
      <c r="Q11" s="88"/>
      <c r="R11" s="88"/>
      <c r="S11" s="88"/>
      <c r="T11" s="88"/>
      <c r="U11" s="88"/>
      <c r="V11" s="88"/>
      <c r="W11" s="88"/>
      <c r="X11" s="89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1">
        <v>10</v>
      </c>
      <c r="C12" s="72" t="s">
        <v>79</v>
      </c>
      <c r="D12" s="72" t="s">
        <v>80</v>
      </c>
      <c r="E12" s="72" t="s">
        <v>81</v>
      </c>
      <c r="F12" s="90" t="s">
        <v>118</v>
      </c>
      <c r="G12" s="76">
        <v>41386</v>
      </c>
      <c r="H12" s="76">
        <v>41393</v>
      </c>
      <c r="I12" s="77">
        <v>4</v>
      </c>
      <c r="J12" s="77">
        <v>1</v>
      </c>
      <c r="K12" s="78">
        <v>3</v>
      </c>
      <c r="L12" s="79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80">
        <f t="shared" si="5"/>
        <v>0</v>
      </c>
      <c r="O12" s="81"/>
      <c r="P12" s="81"/>
      <c r="Q12" s="81"/>
      <c r="R12" s="81"/>
      <c r="S12" s="81" t="str">
        <f t="shared" si="3"/>
        <v xml:space="preserve"> </v>
      </c>
      <c r="T12" s="81" t="str">
        <f t="shared" si="3"/>
        <v xml:space="preserve"> </v>
      </c>
      <c r="U12" s="81" t="str">
        <f t="shared" si="4"/>
        <v xml:space="preserve"> </v>
      </c>
      <c r="V12" s="81" t="str">
        <f t="shared" si="2"/>
        <v xml:space="preserve"> </v>
      </c>
      <c r="W12" s="81" t="str">
        <f t="shared" ref="W12" si="6">IF(ISNUMBER(V12)," ",IF(V12="X","X"," "))</f>
        <v xml:space="preserve"> </v>
      </c>
      <c r="X12" s="82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9" t="s">
        <v>79</v>
      </c>
      <c r="D13" s="69" t="s">
        <v>80</v>
      </c>
      <c r="E13" s="69" t="s">
        <v>82</v>
      </c>
      <c r="F13" s="90" t="s">
        <v>122</v>
      </c>
      <c r="G13" s="76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5"/>
        <v>0</v>
      </c>
      <c r="O13" s="51"/>
      <c r="P13" s="51"/>
      <c r="Q13" s="51"/>
      <c r="R13" s="51"/>
      <c r="S13" s="51" t="str">
        <f t="shared" si="3"/>
        <v xml:space="preserve"> </v>
      </c>
      <c r="T13" s="51" t="str">
        <f t="shared" si="3"/>
        <v xml:space="preserve"> </v>
      </c>
      <c r="U13" s="51" t="str">
        <f t="shared" si="4"/>
        <v xml:space="preserve"> </v>
      </c>
      <c r="V13" s="51" t="str">
        <f t="shared" si="2"/>
        <v xml:space="preserve"> </v>
      </c>
      <c r="W13" s="51" t="str">
        <f t="shared" ref="W13" si="7"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9" t="s">
        <v>79</v>
      </c>
      <c r="D14" s="69" t="s">
        <v>83</v>
      </c>
      <c r="E14" s="69" t="s">
        <v>84</v>
      </c>
      <c r="F14" s="90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5"/>
        <v>0</v>
      </c>
      <c r="O14" s="51"/>
      <c r="P14" s="51"/>
      <c r="Q14" s="51"/>
      <c r="R14" s="51"/>
      <c r="S14" s="51"/>
      <c r="T14" s="51" t="str">
        <f t="shared" si="3"/>
        <v xml:space="preserve"> </v>
      </c>
      <c r="U14" s="51" t="str">
        <f t="shared" si="4"/>
        <v xml:space="preserve"> </v>
      </c>
      <c r="V14" s="51" t="str">
        <f t="shared" ref="V14:V36" si="8">IF(ISNUMBER(U14)," ",IF(U14="X","X"," "))</f>
        <v xml:space="preserve"> </v>
      </c>
      <c r="W14" s="51" t="str">
        <f t="shared" ref="W14:W36" si="9"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9" t="s">
        <v>79</v>
      </c>
      <c r="D15" s="69" t="s">
        <v>85</v>
      </c>
      <c r="E15" s="69" t="s">
        <v>86</v>
      </c>
      <c r="F15" s="90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5"/>
        <v>0</v>
      </c>
      <c r="O15" s="51"/>
      <c r="P15" s="51" t="str">
        <f t="shared" ref="P15:Q15" si="10">IF(ISNUMBER(O15)," ",IF(O15="X","X"," "))</f>
        <v xml:space="preserve"> </v>
      </c>
      <c r="Q15" s="51" t="str">
        <f t="shared" si="10"/>
        <v xml:space="preserve"> </v>
      </c>
      <c r="R15" s="51"/>
      <c r="S15" s="51" t="str">
        <f t="shared" si="3"/>
        <v xml:space="preserve"> </v>
      </c>
      <c r="T15" s="51" t="str">
        <f t="shared" si="3"/>
        <v xml:space="preserve"> </v>
      </c>
      <c r="U15" s="51" t="str">
        <f t="shared" si="4"/>
        <v xml:space="preserve"> </v>
      </c>
      <c r="V15" s="51" t="str">
        <f t="shared" si="8"/>
        <v xml:space="preserve"> </v>
      </c>
      <c r="W15" s="51" t="str">
        <f t="shared" si="9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9" t="s">
        <v>79</v>
      </c>
      <c r="D16" s="69" t="s">
        <v>89</v>
      </c>
      <c r="E16" s="69" t="s">
        <v>87</v>
      </c>
      <c r="F16" s="90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5"/>
        <v>0</v>
      </c>
      <c r="O16" s="51"/>
      <c r="P16" s="51" t="str">
        <f t="shared" ref="P16" si="11">IF(ISNUMBER(O16)," ",IF(O16="X","X"," "))</f>
        <v xml:space="preserve"> </v>
      </c>
      <c r="Q16" s="51"/>
      <c r="R16" s="51"/>
      <c r="S16" s="51" t="str">
        <f t="shared" si="3"/>
        <v xml:space="preserve"> </v>
      </c>
      <c r="T16" s="51" t="str">
        <f t="shared" si="3"/>
        <v xml:space="preserve"> </v>
      </c>
      <c r="U16" s="51" t="str">
        <f t="shared" si="4"/>
        <v xml:space="preserve"> </v>
      </c>
      <c r="V16" s="51" t="str">
        <f t="shared" si="8"/>
        <v xml:space="preserve"> </v>
      </c>
      <c r="W16" s="51" t="str">
        <f t="shared" si="9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9" t="s">
        <v>79</v>
      </c>
      <c r="D17" s="69" t="s">
        <v>85</v>
      </c>
      <c r="E17" s="69" t="s">
        <v>111</v>
      </c>
      <c r="F17" s="90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5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9" t="s">
        <v>79</v>
      </c>
      <c r="D18" s="69" t="s">
        <v>90</v>
      </c>
      <c r="E18" s="69" t="s">
        <v>86</v>
      </c>
      <c r="F18" s="90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5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9" t="s">
        <v>79</v>
      </c>
      <c r="D19" s="69" t="s">
        <v>90</v>
      </c>
      <c r="E19" s="69" t="s">
        <v>87</v>
      </c>
      <c r="F19" s="90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5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9" t="s">
        <v>79</v>
      </c>
      <c r="D20" s="69" t="s">
        <v>90</v>
      </c>
      <c r="E20" s="69" t="s">
        <v>88</v>
      </c>
      <c r="F20" s="90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5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9" t="s">
        <v>79</v>
      </c>
      <c r="D21" s="69" t="s">
        <v>91</v>
      </c>
      <c r="E21" s="69" t="s">
        <v>86</v>
      </c>
      <c r="F21" s="90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5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9" t="s">
        <v>79</v>
      </c>
      <c r="D22" s="69" t="s">
        <v>91</v>
      </c>
      <c r="E22" s="69" t="s">
        <v>87</v>
      </c>
      <c r="F22" s="90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5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9" t="s">
        <v>79</v>
      </c>
      <c r="D23" s="69" t="s">
        <v>91</v>
      </c>
      <c r="E23" s="69" t="s">
        <v>88</v>
      </c>
      <c r="F23" s="90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5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9" t="s">
        <v>79</v>
      </c>
      <c r="D24" s="69" t="s">
        <v>92</v>
      </c>
      <c r="E24" s="69" t="s">
        <v>93</v>
      </c>
      <c r="F24" s="90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5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9" t="s">
        <v>79</v>
      </c>
      <c r="D25" s="69" t="s">
        <v>92</v>
      </c>
      <c r="E25" s="69" t="s">
        <v>94</v>
      </c>
      <c r="F25" s="90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5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9" t="s">
        <v>79</v>
      </c>
      <c r="D26" s="69" t="s">
        <v>92</v>
      </c>
      <c r="E26" s="69" t="s">
        <v>95</v>
      </c>
      <c r="F26" s="90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5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9" t="s">
        <v>79</v>
      </c>
      <c r="D27" s="69" t="s">
        <v>92</v>
      </c>
      <c r="E27" s="69" t="s">
        <v>96</v>
      </c>
      <c r="F27" s="90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5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9" t="s">
        <v>79</v>
      </c>
      <c r="D28" s="69" t="s">
        <v>97</v>
      </c>
      <c r="E28" s="69" t="s">
        <v>86</v>
      </c>
      <c r="F28" s="90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5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9" t="s">
        <v>79</v>
      </c>
      <c r="D29" s="69" t="s">
        <v>97</v>
      </c>
      <c r="E29" s="69" t="s">
        <v>87</v>
      </c>
      <c r="F29" s="90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5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9" t="s">
        <v>79</v>
      </c>
      <c r="D30" s="69" t="s">
        <v>97</v>
      </c>
      <c r="E30" s="69" t="s">
        <v>88</v>
      </c>
      <c r="F30" s="90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5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9" t="s">
        <v>79</v>
      </c>
      <c r="D31" s="69" t="s">
        <v>83</v>
      </c>
      <c r="E31" s="28" t="s">
        <v>98</v>
      </c>
      <c r="F31" s="90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5"/>
        <v>0</v>
      </c>
      <c r="O31" s="51"/>
      <c r="P31" s="51" t="str">
        <f t="shared" ref="P31" si="12">IF(ISNUMBER(O31)," ",IF(O31="X","X"," "))</f>
        <v xml:space="preserve"> </v>
      </c>
      <c r="Q31" s="51"/>
      <c r="R31" s="51"/>
      <c r="S31" s="51" t="str">
        <f t="shared" si="3"/>
        <v xml:space="preserve"> </v>
      </c>
      <c r="T31" s="51" t="str">
        <f t="shared" si="3"/>
        <v xml:space="preserve"> </v>
      </c>
      <c r="U31" s="51" t="str">
        <f t="shared" si="4"/>
        <v xml:space="preserve"> </v>
      </c>
      <c r="V31" s="51" t="str">
        <f t="shared" si="8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9" t="s">
        <v>79</v>
      </c>
      <c r="D32" s="69" t="s">
        <v>83</v>
      </c>
      <c r="E32" s="69" t="s">
        <v>99</v>
      </c>
      <c r="F32" s="90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5"/>
        <v>0</v>
      </c>
      <c r="O32" s="51"/>
      <c r="P32" s="51" t="str">
        <f t="shared" ref="P32:R32" si="13">IF(ISNUMBER(O32)," ",IF(O32="X","X"," "))</f>
        <v xml:space="preserve"> </v>
      </c>
      <c r="Q32" s="51" t="str">
        <f t="shared" si="13"/>
        <v xml:space="preserve"> </v>
      </c>
      <c r="R32" s="51" t="str">
        <f t="shared" si="13"/>
        <v xml:space="preserve"> </v>
      </c>
      <c r="S32" s="51" t="str">
        <f t="shared" si="3"/>
        <v xml:space="preserve"> </v>
      </c>
      <c r="T32" s="51" t="str">
        <f t="shared" si="3"/>
        <v xml:space="preserve"> </v>
      </c>
      <c r="U32" s="51" t="str">
        <f t="shared" si="4"/>
        <v xml:space="preserve"> </v>
      </c>
      <c r="V32" s="51" t="str">
        <f t="shared" si="8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9" t="s">
        <v>79</v>
      </c>
      <c r="D33" s="69" t="s">
        <v>100</v>
      </c>
      <c r="E33" s="69" t="s">
        <v>75</v>
      </c>
      <c r="F33" s="90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5"/>
        <v>0</v>
      </c>
      <c r="O33" s="51"/>
      <c r="P33" s="51" t="str">
        <f t="shared" ref="P33:R33" si="14">IF(ISNUMBER(O33)," ",IF(O33="X","X"," "))</f>
        <v xml:space="preserve"> </v>
      </c>
      <c r="Q33" s="51" t="str">
        <f t="shared" si="14"/>
        <v xml:space="preserve"> </v>
      </c>
      <c r="R33" s="51" t="str">
        <f t="shared" si="14"/>
        <v xml:space="preserve"> </v>
      </c>
      <c r="S33" s="51" t="str">
        <f t="shared" si="3"/>
        <v xml:space="preserve"> </v>
      </c>
      <c r="T33" s="51" t="str">
        <f t="shared" si="3"/>
        <v xml:space="preserve"> </v>
      </c>
      <c r="U33" s="51" t="str">
        <f t="shared" si="4"/>
        <v xml:space="preserve"> </v>
      </c>
      <c r="V33" s="51" t="str">
        <f t="shared" si="8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9" t="s">
        <v>79</v>
      </c>
      <c r="D34" s="69" t="s">
        <v>100</v>
      </c>
      <c r="E34" s="69" t="s">
        <v>76</v>
      </c>
      <c r="F34" s="90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5"/>
        <v>0</v>
      </c>
      <c r="O34" s="51"/>
      <c r="P34" s="51" t="str">
        <f t="shared" ref="P34:R34" si="15">IF(ISNUMBER(O34)," ",IF(O34="X","X"," "))</f>
        <v xml:space="preserve"> </v>
      </c>
      <c r="Q34" s="51" t="str">
        <f t="shared" si="15"/>
        <v xml:space="preserve"> </v>
      </c>
      <c r="R34" s="51" t="str">
        <f t="shared" si="15"/>
        <v xml:space="preserve"> </v>
      </c>
      <c r="S34" s="51" t="str">
        <f t="shared" si="3"/>
        <v xml:space="preserve"> </v>
      </c>
      <c r="T34" s="51" t="str">
        <f t="shared" si="3"/>
        <v xml:space="preserve"> </v>
      </c>
      <c r="U34" s="51" t="str">
        <f t="shared" si="4"/>
        <v xml:space="preserve"> </v>
      </c>
      <c r="V34" s="51" t="str">
        <f t="shared" si="8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9" t="s">
        <v>79</v>
      </c>
      <c r="D35" s="69" t="s">
        <v>100</v>
      </c>
      <c r="E35" s="69" t="s">
        <v>77</v>
      </c>
      <c r="F35" s="90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5"/>
        <v>0</v>
      </c>
      <c r="O35" s="51"/>
      <c r="P35" s="51" t="str">
        <f t="shared" ref="P35:R35" si="16">IF(ISNUMBER(O35)," ",IF(O35="X","X"," "))</f>
        <v xml:space="preserve"> </v>
      </c>
      <c r="Q35" s="51" t="str">
        <f t="shared" si="16"/>
        <v xml:space="preserve"> </v>
      </c>
      <c r="R35" s="51" t="str">
        <f t="shared" si="16"/>
        <v xml:space="preserve"> </v>
      </c>
      <c r="S35" s="51" t="str">
        <f t="shared" si="3"/>
        <v xml:space="preserve"> </v>
      </c>
      <c r="T35" s="51" t="str">
        <f t="shared" si="3"/>
        <v xml:space="preserve"> </v>
      </c>
      <c r="U35" s="51" t="str">
        <f t="shared" si="4"/>
        <v xml:space="preserve"> </v>
      </c>
      <c r="V35" s="51" t="str">
        <f t="shared" si="8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9" t="s">
        <v>79</v>
      </c>
      <c r="D36" s="69" t="s">
        <v>101</v>
      </c>
      <c r="E36" s="69" t="s">
        <v>102</v>
      </c>
      <c r="F36" s="90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5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3"/>
        <v xml:space="preserve"> </v>
      </c>
      <c r="T36" s="51" t="str">
        <f t="shared" si="3"/>
        <v xml:space="preserve"> </v>
      </c>
      <c r="U36" s="51" t="str">
        <f t="shared" si="4"/>
        <v xml:space="preserve"> </v>
      </c>
      <c r="V36" s="51" t="str">
        <f t="shared" si="8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9" t="s">
        <v>79</v>
      </c>
      <c r="D37" s="69" t="s">
        <v>101</v>
      </c>
      <c r="E37" s="69" t="s">
        <v>103</v>
      </c>
      <c r="F37" s="90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5"/>
        <v>0</v>
      </c>
      <c r="O37" s="51"/>
      <c r="P37" s="51" t="str">
        <f t="shared" ref="P37:W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3"/>
        <v xml:space="preserve"> </v>
      </c>
      <c r="T37" s="51" t="str">
        <f t="shared" si="3"/>
        <v xml:space="preserve"> </v>
      </c>
      <c r="U37" s="51" t="str">
        <f t="shared" si="4"/>
        <v xml:space="preserve"> </v>
      </c>
      <c r="V37" s="51" t="str">
        <f t="shared" si="2"/>
        <v xml:space="preserve"> </v>
      </c>
      <c r="W37" s="51" t="str">
        <f t="shared" si="18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/>
      <c r="C38" s="69"/>
      <c r="D38" s="69"/>
      <c r="E38" s="69"/>
      <c r="F38" s="17"/>
      <c r="G38" s="45" t="str">
        <f t="shared" ref="G38:G39" ca="1" si="19">IF(OR(ISBLANK($G$3),ISBLANK($C38)),"",OFFSET($O$2,0,I38+MATCH(G37,$O$2:$W$2,0)-1))</f>
        <v/>
      </c>
      <c r="H38" s="45" t="str">
        <f t="shared" ref="H38" ca="1" si="20">IF(OR(ISBLANK($G$3),ISBLANK($C38)),"",OFFSET($O$2,0,J38+MATCH(G38,$O$2:$W$2,0)-1))</f>
        <v/>
      </c>
      <c r="I38" s="43"/>
      <c r="J38" s="43"/>
      <c r="K38" s="3"/>
      <c r="L38" s="55" t="str">
        <f t="array" ref="L38">IF(ISNA(INDEX($O$2:$DA$2,1,MATCH(1,IF($O38:$DM38,1),0))),"",INDEX($O$2:$DA$2,1,MATCH(1,IF($O38:$DM38,1),0)))</f>
        <v/>
      </c>
      <c r="M38" s="55" t="str">
        <f t="shared" si="1"/>
        <v/>
      </c>
      <c r="N38" s="56">
        <f t="shared" si="5"/>
        <v>0</v>
      </c>
      <c r="O38" s="51"/>
      <c r="P38" s="51" t="str">
        <f t="shared" ref="P38:W38" si="21">IF(ISNUMBER(O38)," ",IF(O38="X","X"," "))</f>
        <v xml:space="preserve"> </v>
      </c>
      <c r="Q38" s="51" t="str">
        <f t="shared" si="21"/>
        <v xml:space="preserve"> </v>
      </c>
      <c r="R38" s="51" t="str">
        <f t="shared" si="21"/>
        <v xml:space="preserve"> </v>
      </c>
      <c r="S38" s="51" t="str">
        <f t="shared" si="3"/>
        <v xml:space="preserve"> </v>
      </c>
      <c r="T38" s="51" t="str">
        <f t="shared" si="3"/>
        <v xml:space="preserve"> </v>
      </c>
      <c r="U38" s="51" t="str">
        <f t="shared" si="4"/>
        <v xml:space="preserve"> </v>
      </c>
      <c r="V38" s="51" t="str">
        <f t="shared" si="2"/>
        <v xml:space="preserve"> </v>
      </c>
      <c r="W38" s="51" t="str">
        <f t="shared" si="21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/>
      <c r="C39" s="4"/>
      <c r="D39" s="4"/>
      <c r="E39" s="4"/>
      <c r="F39" s="17"/>
      <c r="G39" s="45" t="str">
        <f t="shared" ca="1" si="19"/>
        <v/>
      </c>
      <c r="H39" s="45" t="str">
        <f ca="1">IF(OR(ISBLANK($G$3),ISBLANK($C39)),"",OFFSET($O$2,0,J39))</f>
        <v/>
      </c>
      <c r="I39" s="43"/>
      <c r="J39" s="43"/>
      <c r="K39" s="3"/>
      <c r="L39" s="55" t="str">
        <f t="array" ref="L39">IF(ISNA(INDEX($O$2:$DA$2,1,MATCH(1,IF($O39:$DM39,1),0))),"",INDEX($O$2:$DA$2,1,MATCH(1,IF($O39:$DM39,1),0)))</f>
        <v/>
      </c>
      <c r="M39" s="55" t="str">
        <f t="shared" si="1"/>
        <v/>
      </c>
      <c r="N39" s="56">
        <f t="shared" si="5"/>
        <v>0</v>
      </c>
      <c r="O39" s="51"/>
      <c r="P39" s="51" t="str">
        <f t="shared" ref="P39" si="22">IF(ISNUMBER(O39)," ",IF(O39="X","X"," "))</f>
        <v xml:space="preserve"> </v>
      </c>
      <c r="Q39" s="51" t="str">
        <f t="shared" ref="Q39" si="23">IF(ISNUMBER(P39)," ",IF(P39="X","X"," "))</f>
        <v xml:space="preserve"> </v>
      </c>
      <c r="R39" s="51" t="str">
        <f t="shared" ref="R39" si="24">IF(ISNUMBER(Q39)," ",IF(Q39="X","X"," "))</f>
        <v xml:space="preserve"> </v>
      </c>
      <c r="S39" s="51" t="str">
        <f t="shared" si="3"/>
        <v xml:space="preserve"> </v>
      </c>
      <c r="T39" s="51" t="str">
        <f t="shared" si="3"/>
        <v xml:space="preserve"> </v>
      </c>
      <c r="U39" s="51" t="str">
        <f t="shared" si="4"/>
        <v xml:space="preserve"> </v>
      </c>
      <c r="V39" s="51" t="str">
        <f t="shared" si="2"/>
        <v xml:space="preserve"> </v>
      </c>
      <c r="W39" s="51" t="str">
        <f t="shared" ref="W39" si="25">IF(ISNUMBER(V39)," ",IF(V39="X","X"," "))</f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18"/>
      <c r="C40" s="18"/>
      <c r="D40" s="18"/>
      <c r="E40" s="18"/>
      <c r="F40" s="18"/>
      <c r="G40" s="18"/>
      <c r="H40" s="18"/>
      <c r="I40" s="64" t="s">
        <v>59</v>
      </c>
      <c r="J40" s="48">
        <f>MATCH(MAX($O$2:$W$2),$O$2:$W$2,0)-1</f>
        <v>8</v>
      </c>
      <c r="K40" s="18"/>
      <c r="L40" s="18"/>
      <c r="M40" s="18"/>
      <c r="N40" s="38" t="s">
        <v>61</v>
      </c>
      <c r="O40" s="56">
        <f t="shared" ref="O40:W40" si="26">SUM(O3:O39)</f>
        <v>15.75</v>
      </c>
      <c r="P40" s="56">
        <f t="shared" si="26"/>
        <v>0</v>
      </c>
      <c r="Q40" s="56">
        <f t="shared" si="26"/>
        <v>0</v>
      </c>
      <c r="R40" s="56">
        <f t="shared" si="26"/>
        <v>0</v>
      </c>
      <c r="S40" s="56">
        <f t="shared" si="26"/>
        <v>0</v>
      </c>
      <c r="T40" s="56">
        <f t="shared" si="26"/>
        <v>0</v>
      </c>
      <c r="U40" s="56">
        <f t="shared" si="26"/>
        <v>0</v>
      </c>
      <c r="V40" s="56">
        <f t="shared" si="26"/>
        <v>0</v>
      </c>
      <c r="W40" s="56">
        <f t="shared" si="26"/>
        <v>0</v>
      </c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18"/>
      <c r="C41" s="18"/>
      <c r="D41" s="18"/>
      <c r="E41" s="18"/>
      <c r="F41" s="18"/>
      <c r="G41" s="18"/>
      <c r="H41" s="18"/>
      <c r="I41" s="102" t="s">
        <v>60</v>
      </c>
      <c r="J41" s="103"/>
      <c r="K41" s="48">
        <f>K43/J40</f>
        <v>31.84375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ht="47.25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27">
        <f t="shared" ref="N42:W42" si="27">IF(OR(ISBLANK(O2),O2=$X$2),"",O2)</f>
        <v>41372</v>
      </c>
      <c r="O42" s="27">
        <f t="shared" si="27"/>
        <v>41379</v>
      </c>
      <c r="P42" s="27">
        <f t="shared" si="27"/>
        <v>41386</v>
      </c>
      <c r="Q42" s="27">
        <f t="shared" si="27"/>
        <v>41393</v>
      </c>
      <c r="R42" s="27">
        <f t="shared" si="27"/>
        <v>41407</v>
      </c>
      <c r="S42" s="27">
        <f t="shared" si="27"/>
        <v>41414</v>
      </c>
      <c r="T42" s="27">
        <f t="shared" si="27"/>
        <v>41421</v>
      </c>
      <c r="U42" s="27">
        <f t="shared" si="27"/>
        <v>41428</v>
      </c>
      <c r="V42" s="27">
        <f t="shared" si="27"/>
        <v>41435</v>
      </c>
      <c r="W42" s="27" t="str">
        <f t="shared" si="27"/>
        <v/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29"/>
      <c r="C43" s="99" t="s">
        <v>0</v>
      </c>
      <c r="D43" s="100"/>
      <c r="E43" s="100"/>
      <c r="F43" s="100"/>
      <c r="G43" s="100"/>
      <c r="H43" s="100"/>
      <c r="I43" s="101"/>
      <c r="J43" s="30">
        <f ca="1">MAX(H3:H38)-MIN(G3:G38)</f>
        <v>56</v>
      </c>
      <c r="K43" s="30">
        <f>SUM(K3:K39)</f>
        <v>254.75</v>
      </c>
      <c r="L43" s="31"/>
      <c r="M43" s="32"/>
      <c r="N43" s="68">
        <v>296</v>
      </c>
      <c r="O43" s="50">
        <f t="shared" ref="O43:U43" si="28">IF(O42="","",N43)</f>
        <v>296</v>
      </c>
      <c r="P43" s="50">
        <f t="shared" si="28"/>
        <v>296</v>
      </c>
      <c r="Q43" s="50">
        <f t="shared" si="28"/>
        <v>296</v>
      </c>
      <c r="R43" s="50">
        <f t="shared" si="28"/>
        <v>296</v>
      </c>
      <c r="S43" s="50">
        <f t="shared" si="28"/>
        <v>296</v>
      </c>
      <c r="T43" s="50">
        <f t="shared" si="28"/>
        <v>296</v>
      </c>
      <c r="U43" s="50">
        <f t="shared" si="28"/>
        <v>296</v>
      </c>
      <c r="V43" s="50"/>
      <c r="W43" s="50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29"/>
      <c r="C44" s="59" t="s">
        <v>31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34">
        <f ca="1">IF(N42="","",M44+IF(ISNA(VLOOKUP(O2,$H$2:$H$39,2,FALSE)),0,SUM(IF($H$2:$K$39=O2,$K$2:$K$39))))</f>
        <v>0</v>
      </c>
      <c r="O44" s="34">
        <f t="array" aca="1" ref="O44" ca="1">IF(O42="","",N44+IF(ISNA(VLOOKUP(P2,$H$2:$H$39,2,FALSE)),0,SUM(IF($H$2:$K$39=P2,$K$2:$K$39))))</f>
        <v>26</v>
      </c>
      <c r="P44" s="34">
        <f t="array" aca="1" ref="P44" ca="1">IF(P42="","",O44+IF(ISNA(VLOOKUP(Q2,$H$2:$H$39,2,FALSE)),0,SUM(IF($H$2:$K$39=Q2,$K$2:$K$39))))</f>
        <v>26</v>
      </c>
      <c r="Q44" s="34">
        <f t="array" aca="1" ref="Q44" ca="1">IF(Q42="","",P44+IF(ISNA(VLOOKUP(R2,$H$2:$H$39,2,FALSE)),0,SUM(IF($H$2:$K$39=R2,$K$2:$K$39))))</f>
        <v>75.75</v>
      </c>
      <c r="R44" s="34">
        <f t="array" aca="1" ref="R44" ca="1">IF(R42="","",Q44+IF(ISNA(VLOOKUP(S2,$H$2:$H$39,2,FALSE)),0,SUM(IF($H$2:$K$39=S2,$K$2:$K$39))))</f>
        <v>135.75</v>
      </c>
      <c r="S44" s="34">
        <f t="array" aca="1" ref="S44" ca="1">IF(S42="","",R44+IF(ISNA(VLOOKUP(T2,$H$2:$H$39,2,FALSE)),0,SUM(IF($H$2:$K$39=T2,$K$2:$K$39))))</f>
        <v>183.75</v>
      </c>
      <c r="T44" s="34">
        <f t="array" aca="1" ref="T44" ca="1">IF(T42="","",S44+IF(ISNA(VLOOKUP(U2,$H$2:$H$39,2,FALSE)),0,SUM(IF($H$2:$K$39=U2,$K$2:$K$39))))</f>
        <v>220.75</v>
      </c>
      <c r="U44" s="34">
        <f t="array" aca="1" ref="U44" ca="1">IF(U42="","",T44+IF(ISNA(VLOOKUP(V2,$H$2:$H$39,2,FALSE)),0,SUM(IF($H$2:$K$39=V2,$K$2:$K$39))))</f>
        <v>254.75</v>
      </c>
      <c r="V44" s="34"/>
      <c r="W44" s="34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18"/>
      <c r="C45" s="61" t="s">
        <v>15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5">
        <v>0</v>
      </c>
      <c r="O45" s="6">
        <f>SUMIFS($K$3:$K$39,P3:P39,"=X")</f>
        <v>26</v>
      </c>
      <c r="P45" s="6">
        <f>SUMIFS($K$3:$K$39,Q3:Q39,"=X")</f>
        <v>13</v>
      </c>
      <c r="Q45" s="6">
        <f>SUMIFS($K$3:$K$39,R3:R39,"=X")</f>
        <v>13</v>
      </c>
      <c r="R45" s="6">
        <f>SUMIFS($K$3:$K$39,S3:S39,"=X")</f>
        <v>13</v>
      </c>
      <c r="S45" s="6"/>
      <c r="T45" s="6"/>
      <c r="U45" s="6"/>
      <c r="V45" s="6"/>
      <c r="W45" s="6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18"/>
      <c r="C46" s="63" t="s">
        <v>32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66">
        <v>0</v>
      </c>
      <c r="O46" s="6">
        <f>SUM(O3:O39)+N46</f>
        <v>15.75</v>
      </c>
      <c r="P46" s="6">
        <f>SUM(P3:P39)+O46</f>
        <v>15.75</v>
      </c>
      <c r="Q46" s="6">
        <f>SUM(Q3:Q39)+P46</f>
        <v>15.75</v>
      </c>
      <c r="R46" s="6">
        <f>SUM(R3:R39)+Q46</f>
        <v>15.75</v>
      </c>
      <c r="S46" s="6"/>
      <c r="T46" s="6"/>
      <c r="U46" s="6"/>
      <c r="V46" s="6"/>
      <c r="W46" s="6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35"/>
      <c r="M47" s="35"/>
      <c r="N47" s="35"/>
      <c r="O47" s="36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35"/>
      <c r="M48" s="91" t="s">
        <v>19</v>
      </c>
      <c r="N48" s="92"/>
      <c r="O48" s="20" t="s">
        <v>18</v>
      </c>
      <c r="P48" s="21"/>
      <c r="Q48" s="21"/>
      <c r="R48" s="21"/>
      <c r="S48" s="21"/>
      <c r="T48" s="21"/>
      <c r="U48" s="21"/>
      <c r="V48" s="21"/>
      <c r="W48" s="21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47.25" x14ac:dyDescent="0.2">
      <c r="A49" s="18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35"/>
      <c r="M49" s="23" t="s">
        <v>5</v>
      </c>
      <c r="N49" s="23" t="s">
        <v>7</v>
      </c>
      <c r="O49" s="27">
        <f t="shared" ref="O49:V49" si="29">O2</f>
        <v>41372</v>
      </c>
      <c r="P49" s="39">
        <f t="shared" si="29"/>
        <v>41379</v>
      </c>
      <c r="Q49" s="39">
        <f t="shared" si="29"/>
        <v>41386</v>
      </c>
      <c r="R49" s="39">
        <f t="shared" si="29"/>
        <v>41393</v>
      </c>
      <c r="S49" s="39">
        <f t="shared" si="29"/>
        <v>41407</v>
      </c>
      <c r="T49" s="39">
        <f t="shared" si="29"/>
        <v>41414</v>
      </c>
      <c r="U49" s="39">
        <f t="shared" si="29"/>
        <v>41421</v>
      </c>
      <c r="V49" s="39">
        <f t="shared" si="29"/>
        <v>41428</v>
      </c>
      <c r="W49" s="39"/>
      <c r="X49" s="23" t="s">
        <v>13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35"/>
      <c r="M50" s="49" t="s">
        <v>104</v>
      </c>
      <c r="N50" s="37">
        <f>SUM(O50:CG50)</f>
        <v>0</v>
      </c>
      <c r="O50" s="37">
        <f t="shared" ref="O50:W51" si="30">SUMIF($F$3:$F$39,$M50,O$3:O$39)</f>
        <v>0</v>
      </c>
      <c r="P50" s="37">
        <f t="shared" si="30"/>
        <v>0</v>
      </c>
      <c r="Q50" s="37">
        <f t="shared" si="30"/>
        <v>0</v>
      </c>
      <c r="R50" s="37">
        <f t="shared" si="30"/>
        <v>0</v>
      </c>
      <c r="S50" s="37">
        <f t="shared" si="30"/>
        <v>0</v>
      </c>
      <c r="T50" s="37">
        <f t="shared" si="30"/>
        <v>0</v>
      </c>
      <c r="U50" s="37">
        <f t="shared" si="30"/>
        <v>0</v>
      </c>
      <c r="V50" s="37">
        <f t="shared" si="30"/>
        <v>0</v>
      </c>
      <c r="W50" s="37">
        <f t="shared" si="30"/>
        <v>0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35"/>
      <c r="M51" s="49" t="s">
        <v>105</v>
      </c>
      <c r="N51" s="37">
        <f>SUM(O51:CG51)</f>
        <v>0</v>
      </c>
      <c r="O51" s="37">
        <f t="shared" si="30"/>
        <v>0</v>
      </c>
      <c r="P51" s="37">
        <f t="shared" si="30"/>
        <v>0</v>
      </c>
      <c r="Q51" s="37">
        <f t="shared" si="30"/>
        <v>0</v>
      </c>
      <c r="R51" s="37">
        <f t="shared" si="30"/>
        <v>0</v>
      </c>
      <c r="S51" s="37">
        <f t="shared" si="30"/>
        <v>0</v>
      </c>
      <c r="T51" s="37">
        <f t="shared" si="30"/>
        <v>0</v>
      </c>
      <c r="U51" s="37">
        <f t="shared" si="30"/>
        <v>0</v>
      </c>
      <c r="V51" s="37">
        <f t="shared" si="30"/>
        <v>0</v>
      </c>
      <c r="W51" s="37">
        <f t="shared" si="30"/>
        <v>0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x14ac:dyDescent="0.2">
      <c r="A52" s="18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35"/>
      <c r="M52" s="49" t="s">
        <v>106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35"/>
      <c r="M53" s="49" t="s">
        <v>108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x14ac:dyDescent="0.2">
      <c r="A54" s="18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35"/>
      <c r="M54" s="49" t="s">
        <v>112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x14ac:dyDescent="0.2">
      <c r="A55" s="18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35"/>
      <c r="M55" s="49" t="s">
        <v>108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0</v>
      </c>
      <c r="W55" s="37">
        <v>0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x14ac:dyDescent="0.2">
      <c r="A56" s="18"/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35"/>
      <c r="M56" s="49" t="s">
        <v>107</v>
      </c>
      <c r="N56" s="37">
        <f>SUM(O56:CG56)</f>
        <v>0</v>
      </c>
      <c r="O56" s="37">
        <f t="shared" ref="O56:V57" si="31">SUMIF($F$3:$F$39,$M56,O$3:O$39)</f>
        <v>0</v>
      </c>
      <c r="P56" s="37">
        <f t="shared" si="31"/>
        <v>0</v>
      </c>
      <c r="Q56" s="37">
        <f t="shared" si="31"/>
        <v>0</v>
      </c>
      <c r="R56" s="37">
        <f t="shared" si="31"/>
        <v>0</v>
      </c>
      <c r="S56" s="37">
        <f t="shared" si="31"/>
        <v>0</v>
      </c>
      <c r="T56" s="37">
        <f t="shared" si="31"/>
        <v>0</v>
      </c>
      <c r="U56" s="37">
        <f t="shared" si="31"/>
        <v>0</v>
      </c>
      <c r="V56" s="37">
        <f t="shared" si="31"/>
        <v>0</v>
      </c>
      <c r="W56" s="37">
        <v>0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57"/>
      <c r="J57" s="19"/>
      <c r="K57" s="19"/>
      <c r="L57" s="35"/>
      <c r="M57" s="49"/>
      <c r="N57" s="37">
        <f>SUM(O57:CG57)</f>
        <v>0</v>
      </c>
      <c r="O57" s="37">
        <f t="shared" si="31"/>
        <v>0</v>
      </c>
      <c r="P57" s="37">
        <f t="shared" si="31"/>
        <v>0</v>
      </c>
      <c r="Q57" s="37">
        <f t="shared" si="31"/>
        <v>0</v>
      </c>
      <c r="R57" s="37">
        <f t="shared" si="31"/>
        <v>0</v>
      </c>
      <c r="S57" s="37">
        <f t="shared" si="31"/>
        <v>0</v>
      </c>
      <c r="T57" s="37">
        <f t="shared" si="31"/>
        <v>0</v>
      </c>
      <c r="U57" s="37">
        <f t="shared" si="31"/>
        <v>0</v>
      </c>
      <c r="V57" s="37">
        <f t="shared" si="31"/>
        <v>0</v>
      </c>
      <c r="W57" s="37">
        <f>SUMIF($F$3:$F$39,$M57,W$3:W$39)</f>
        <v>0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47" t="s">
        <v>20</v>
      </c>
      <c r="N58" s="48">
        <f>SUM(N50:N57)</f>
        <v>0</v>
      </c>
      <c r="O58" s="48">
        <f t="shared" ref="O58:W58" si="32">SUM(O50:O57)</f>
        <v>0</v>
      </c>
      <c r="P58" s="48">
        <f t="shared" si="32"/>
        <v>0</v>
      </c>
      <c r="Q58" s="48">
        <f t="shared" si="32"/>
        <v>0</v>
      </c>
      <c r="R58" s="48">
        <f t="shared" si="32"/>
        <v>0</v>
      </c>
      <c r="S58" s="48">
        <f t="shared" si="32"/>
        <v>0</v>
      </c>
      <c r="T58" s="48">
        <f t="shared" si="32"/>
        <v>0</v>
      </c>
      <c r="U58" s="48">
        <f t="shared" si="32"/>
        <v>0</v>
      </c>
      <c r="V58" s="48">
        <f t="shared" si="32"/>
        <v>0</v>
      </c>
      <c r="W58" s="48">
        <f t="shared" si="32"/>
        <v>0</v>
      </c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35"/>
      <c r="N59" s="35"/>
      <c r="O59" s="36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35"/>
      <c r="N60" s="35"/>
      <c r="O60" s="36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35"/>
      <c r="N61" s="35"/>
      <c r="O61" s="36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35"/>
      <c r="N62" s="35"/>
      <c r="O62" s="36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58" t="e">
        <f>MATCH(R2,Y2:AC2,0)</f>
        <v>#N/A</v>
      </c>
      <c r="N63" s="35"/>
      <c r="O63" s="36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35"/>
      <c r="N64" s="35"/>
      <c r="O64" s="36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35"/>
      <c r="N65" s="35"/>
      <c r="O65" s="36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35"/>
      <c r="N66" s="35"/>
      <c r="O66" s="36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35"/>
      <c r="N68" s="35"/>
      <c r="O68" s="36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48:N48"/>
    <mergeCell ref="G1:K1"/>
    <mergeCell ref="L1:N1"/>
    <mergeCell ref="C43:I43"/>
    <mergeCell ref="I41:J41"/>
  </mergeCells>
  <conditionalFormatting sqref="L3:M39">
    <cfRule type="containsBlanks" priority="65" stopIfTrue="1">
      <formula>LEN(TRIM(L3))=0</formula>
    </cfRule>
  </conditionalFormatting>
  <conditionalFormatting sqref="M13:M3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3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3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43:W43">
    <cfRule type="expression" dxfId="12" priority="145">
      <formula>O43=N$43</formula>
    </cfRule>
  </conditionalFormatting>
  <conditionalFormatting sqref="O45:W45">
    <cfRule type="cellIs" dxfId="11" priority="22" operator="greaterThan">
      <formula>0</formula>
    </cfRule>
  </conditionalFormatting>
  <conditionalFormatting sqref="O46:W46">
    <cfRule type="cellIs" dxfId="10" priority="21" operator="greaterThan">
      <formula>0</formula>
    </cfRule>
  </conditionalFormatting>
  <conditionalFormatting sqref="G3:H39">
    <cfRule type="expression" dxfId="9" priority="11">
      <formula>FormulaInCell</formula>
    </cfRule>
  </conditionalFormatting>
  <conditionalFormatting sqref="O3:W39">
    <cfRule type="cellIs" dxfId="8" priority="18" operator="equal">
      <formula>"X"</formula>
    </cfRule>
    <cfRule type="cellIs" dxfId="7" priority="19" operator="greaterThan">
      <formula>0</formula>
    </cfRule>
    <cfRule type="expression" dxfId="6" priority="20">
      <formula>AND(O$2&gt;=$G3,O$2&lt;$H3,ISNUMBER(O3))</formula>
    </cfRule>
    <cfRule type="expression" dxfId="5" priority="23">
      <formula>AND(O$2&gt;=$G3,O$2&lt;$H3)</formula>
    </cfRule>
    <cfRule type="expression" dxfId="4" priority="24">
      <formula>AND(ISNUMBER(O3))</formula>
    </cfRule>
  </conditionalFormatting>
  <conditionalFormatting sqref="O49:W49 O2:W2">
    <cfRule type="expression" dxfId="3" priority="6">
      <formula>O2&gt;MAX($H$3:$H$39)</formula>
    </cfRule>
  </conditionalFormatting>
  <conditionalFormatting sqref="N42:W42">
    <cfRule type="expression" dxfId="2" priority="4">
      <formula>N42&gt;MAX($H$3:$H$39)</formula>
    </cfRule>
  </conditionalFormatting>
  <conditionalFormatting sqref="O40:W40">
    <cfRule type="cellIs" priority="1" stopIfTrue="1" operator="equal">
      <formula>0</formula>
    </cfRule>
    <cfRule type="cellIs" dxfId="1" priority="2" operator="lessThan">
      <formula>$K$41</formula>
    </cfRule>
    <cfRule type="cellIs" dxfId="0" priority="3" operator="greaterThan">
      <formula>$K$41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3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2013-04-14T14:40:38Z</dcterms:modified>
</cp:coreProperties>
</file>