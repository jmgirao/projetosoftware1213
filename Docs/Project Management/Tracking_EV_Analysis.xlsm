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N7" i="2" l="1"/>
  <c r="Q3" i="2"/>
  <c r="R3" i="2" s="1"/>
  <c r="S3" i="2" s="1"/>
  <c r="L4" i="2" a="1"/>
  <c r="L4" i="2" s="1"/>
  <c r="N4" i="2"/>
  <c r="N5" i="2"/>
  <c r="N6" i="2"/>
  <c r="N8" i="2"/>
  <c r="N9" i="2"/>
  <c r="N10" i="2"/>
  <c r="N11" i="2"/>
  <c r="M4" i="2"/>
  <c r="M5" i="2"/>
  <c r="M6" i="2"/>
  <c r="M8" i="2"/>
  <c r="M9" i="2"/>
  <c r="M10" i="2"/>
  <c r="M11" i="2"/>
  <c r="L5" i="2" a="1"/>
  <c r="L5" i="2" s="1"/>
  <c r="L6" i="2" a="1"/>
  <c r="L6" i="2" s="1"/>
  <c r="L8" i="2" a="1"/>
  <c r="L8" i="2" s="1"/>
  <c r="L9" i="2" a="1"/>
  <c r="L9" i="2" s="1"/>
  <c r="L10" i="2" a="1"/>
  <c r="L10" i="2" s="1"/>
  <c r="L11" i="2" a="1"/>
  <c r="L11" i="2" s="1"/>
  <c r="O47" i="2" l="1"/>
  <c r="W43" i="2"/>
  <c r="O41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G40" i="2"/>
  <c r="O2" i="2"/>
  <c r="H40" i="2"/>
  <c r="P15" i="2"/>
  <c r="Q15" i="2" s="1"/>
  <c r="P16" i="2"/>
  <c r="P32" i="2"/>
  <c r="S32" i="2" s="1"/>
  <c r="T32" i="2" s="1"/>
  <c r="U32" i="2" s="1"/>
  <c r="V32" i="2" s="1"/>
  <c r="W32" i="2" s="1"/>
  <c r="P33" i="2"/>
  <c r="Q33" i="2" s="1"/>
  <c r="R33" i="2" s="1"/>
  <c r="S33" i="2" s="1"/>
  <c r="T33" i="2" s="1"/>
  <c r="U33" i="2" s="1"/>
  <c r="V33" i="2" s="1"/>
  <c r="W33" i="2" s="1"/>
  <c r="P34" i="2"/>
  <c r="Q34" i="2" s="1"/>
  <c r="R34" i="2" s="1"/>
  <c r="S34" i="2" s="1"/>
  <c r="T34" i="2" s="1"/>
  <c r="U34" i="2" s="1"/>
  <c r="V34" i="2" s="1"/>
  <c r="W34" i="2" s="1"/>
  <c r="P35" i="2"/>
  <c r="Q35" i="2" s="1"/>
  <c r="R35" i="2" s="1"/>
  <c r="S35" i="2" s="1"/>
  <c r="T35" i="2" s="1"/>
  <c r="U35" i="2" s="1"/>
  <c r="V35" i="2" s="1"/>
  <c r="W35" i="2" s="1"/>
  <c r="P36" i="2"/>
  <c r="Q36" i="2" s="1"/>
  <c r="R36" i="2" s="1"/>
  <c r="S36" i="2" s="1"/>
  <c r="T36" i="2" s="1"/>
  <c r="U36" i="2" s="1"/>
  <c r="V36" i="2" s="1"/>
  <c r="W36" i="2" s="1"/>
  <c r="P37" i="2"/>
  <c r="Q37" i="2" s="1"/>
  <c r="R37" i="2" s="1"/>
  <c r="S37" i="2" s="1"/>
  <c r="T37" i="2" s="1"/>
  <c r="U37" i="2" s="1"/>
  <c r="V37" i="2" s="1"/>
  <c r="W37" i="2" s="1"/>
  <c r="P38" i="2"/>
  <c r="Q38" i="2" s="1"/>
  <c r="R38" i="2" s="1"/>
  <c r="S38" i="2" s="1"/>
  <c r="T38" i="2" s="1"/>
  <c r="U38" i="2" s="1"/>
  <c r="V38" i="2" s="1"/>
  <c r="O58" i="2"/>
  <c r="P58" i="2"/>
  <c r="Q58" i="2"/>
  <c r="R58" i="2"/>
  <c r="S58" i="2"/>
  <c r="T58" i="2"/>
  <c r="U58" i="2"/>
  <c r="V58" i="2"/>
  <c r="W58" i="2"/>
  <c r="P40" i="2"/>
  <c r="N43" i="2" l="1"/>
  <c r="T14" i="2"/>
  <c r="T3" i="2"/>
  <c r="W12" i="2"/>
  <c r="W38" i="2"/>
  <c r="W13" i="2"/>
  <c r="N58" i="2"/>
  <c r="Q40" i="2"/>
  <c r="R40" i="2" s="1"/>
  <c r="K44" i="2"/>
  <c r="S40" i="2" l="1"/>
  <c r="T40" i="2" s="1"/>
  <c r="U40" i="2" s="1"/>
  <c r="V40" i="2" s="1"/>
  <c r="W40" i="2" s="1"/>
  <c r="N40" i="2" s="1"/>
  <c r="U14" i="2"/>
  <c r="U3" i="2"/>
  <c r="M40" i="2" l="1"/>
  <c r="L40" i="2" a="1"/>
  <c r="L40" i="2" s="1"/>
  <c r="V14" i="2"/>
  <c r="V3" i="2"/>
  <c r="W14" i="2" l="1"/>
  <c r="W3" i="2"/>
  <c r="O52" i="2"/>
  <c r="O51" i="2"/>
  <c r="O57" i="2"/>
  <c r="P39" i="2"/>
  <c r="P41" i="2" s="1"/>
  <c r="O46" i="2" l="1"/>
  <c r="P47" i="2"/>
  <c r="Q39" i="2"/>
  <c r="Q57" i="2"/>
  <c r="P51" i="2"/>
  <c r="O59" i="2"/>
  <c r="M36" i="2"/>
  <c r="M34" i="2"/>
  <c r="M33" i="2"/>
  <c r="N13" i="2"/>
  <c r="N36" i="2"/>
  <c r="N34" i="2"/>
  <c r="N33" i="2"/>
  <c r="N15" i="2"/>
  <c r="M15" i="2"/>
  <c r="L37" i="2" a="1"/>
  <c r="L37" i="2" s="1"/>
  <c r="L33" i="2" a="1"/>
  <c r="L33" i="2" s="1"/>
  <c r="M35" i="2"/>
  <c r="P52" i="2"/>
  <c r="P57" i="2"/>
  <c r="L36" i="2" a="1"/>
  <c r="L36" i="2" s="1"/>
  <c r="L34" i="2" a="1"/>
  <c r="L34" i="2" s="1"/>
  <c r="P46" i="2" l="1"/>
  <c r="Q41" i="2"/>
  <c r="Q47" i="2"/>
  <c r="Q51" i="2"/>
  <c r="R39" i="2"/>
  <c r="M38" i="2"/>
  <c r="P59" i="2"/>
  <c r="R57" i="2"/>
  <c r="N35" i="2"/>
  <c r="L38" i="2" a="1"/>
  <c r="L38" i="2" s="1"/>
  <c r="N38" i="2"/>
  <c r="Q52" i="2"/>
  <c r="R51" i="2"/>
  <c r="N16" i="2"/>
  <c r="L35" i="2" a="1"/>
  <c r="L35" i="2" s="1"/>
  <c r="M37" i="2"/>
  <c r="N37" i="2"/>
  <c r="Q59" i="2" l="1"/>
  <c r="Q46" i="2"/>
  <c r="R41" i="2"/>
  <c r="R47" i="2"/>
  <c r="S39" i="2"/>
  <c r="S51" i="2" s="1"/>
  <c r="S57" i="2"/>
  <c r="R52" i="2"/>
  <c r="R59" i="2" s="1"/>
  <c r="R46" i="2" l="1"/>
  <c r="S41" i="2"/>
  <c r="T39" i="2"/>
  <c r="T41" i="2" s="1"/>
  <c r="S52" i="2"/>
  <c r="S59" i="2" s="1"/>
  <c r="T57" i="2"/>
  <c r="T51" i="2" l="1"/>
  <c r="U39" i="2"/>
  <c r="U41" i="2" s="1"/>
  <c r="U51" i="2"/>
  <c r="U57" i="2"/>
  <c r="T52" i="2"/>
  <c r="T59" i="2" l="1"/>
  <c r="V39" i="2"/>
  <c r="V41" i="2" s="1"/>
  <c r="V57" i="2"/>
  <c r="U52" i="2"/>
  <c r="U59" i="2" s="1"/>
  <c r="V51" i="2" l="1"/>
  <c r="W39" i="2"/>
  <c r="W41" i="2" s="1"/>
  <c r="N14" i="2"/>
  <c r="V52" i="2"/>
  <c r="V59" i="2" l="1"/>
  <c r="W51" i="2"/>
  <c r="L39" i="2" a="1"/>
  <c r="L39" i="2" s="1"/>
  <c r="M39" i="2"/>
  <c r="N39" i="2"/>
  <c r="W52" i="2"/>
  <c r="W59" i="2" l="1"/>
  <c r="N57" i="2"/>
  <c r="N32" i="2"/>
  <c r="N3" i="2"/>
  <c r="N51" i="2" l="1"/>
  <c r="N52" i="2"/>
  <c r="N12" i="2"/>
  <c r="N59" i="2" l="1"/>
  <c r="P2" i="2" l="1"/>
  <c r="L12" i="2" a="1"/>
  <c r="L12" i="2" s="1"/>
  <c r="M3" i="2"/>
  <c r="O50" i="2"/>
  <c r="L3" i="2" a="1"/>
  <c r="L3" i="2" s="1"/>
  <c r="H3" i="2" l="1"/>
  <c r="O43" i="2"/>
  <c r="O44" i="2" s="1"/>
  <c r="L13" i="2" a="1"/>
  <c r="L13" i="2" s="1"/>
  <c r="Q2" i="2"/>
  <c r="P50" i="2"/>
  <c r="P43" i="2" l="1"/>
  <c r="P44" i="2" s="1"/>
  <c r="M13" i="2"/>
  <c r="L16" i="2" a="1"/>
  <c r="L16" i="2" s="1"/>
  <c r="L14" i="2" a="1"/>
  <c r="L14" i="2" s="1"/>
  <c r="Q50" i="2"/>
  <c r="R2" i="2"/>
  <c r="Q43" i="2" s="1"/>
  <c r="M12" i="2"/>
  <c r="Q44" i="2" l="1"/>
  <c r="M64" i="2"/>
  <c r="S2" i="2"/>
  <c r="R50" i="2"/>
  <c r="R43" i="2" l="1"/>
  <c r="R44" i="2" s="1"/>
  <c r="M16" i="2"/>
  <c r="M14" i="2"/>
  <c r="T2" i="2"/>
  <c r="S50" i="2"/>
  <c r="S43" i="2" l="1"/>
  <c r="S44" i="2" s="1"/>
  <c r="T50" i="2"/>
  <c r="L32" i="2" a="1"/>
  <c r="L32" i="2" s="1"/>
  <c r="U2" i="2"/>
  <c r="T43" i="2" l="1"/>
  <c r="T44" i="2" s="1"/>
  <c r="V2" i="2"/>
  <c r="L15" i="2" a="1"/>
  <c r="L15" i="2" s="1"/>
  <c r="U50" i="2"/>
  <c r="W2" i="2" l="1"/>
  <c r="U43" i="2"/>
  <c r="U44" i="2" s="1"/>
  <c r="V50" i="2"/>
  <c r="M32" i="2"/>
  <c r="H4" i="2" l="1"/>
  <c r="G13" i="2"/>
  <c r="V43" i="2"/>
  <c r="J41" i="2"/>
  <c r="K42" i="2" s="1"/>
  <c r="G16" i="2" l="1"/>
  <c r="G33" i="2" l="1"/>
  <c r="G35" i="2" l="1"/>
  <c r="G39" i="2" l="1"/>
  <c r="H39" i="2" s="1"/>
  <c r="N45" i="2" l="1" a="1"/>
  <c r="N45" i="2" s="1"/>
  <c r="O45" i="2" s="1" a="1"/>
  <c r="O45" i="2" s="1"/>
  <c r="P45" i="2" s="1" a="1"/>
  <c r="P45" i="2" s="1"/>
  <c r="Q45" i="2" s="1" a="1"/>
  <c r="Q45" i="2" s="1"/>
  <c r="R45" i="2" s="1" a="1"/>
  <c r="R45" i="2" s="1"/>
  <c r="S45" i="2" s="1" a="1"/>
  <c r="S45" i="2" s="1"/>
  <c r="T45" i="2" s="1" a="1"/>
  <c r="T45" i="2" s="1"/>
  <c r="U45" i="2" s="1" a="1"/>
  <c r="U45" i="2" s="1"/>
  <c r="J44" i="2"/>
</calcChain>
</file>

<file path=xl/comments1.xml><?xml version="1.0" encoding="utf-8"?>
<comments xmlns="http://schemas.openxmlformats.org/spreadsheetml/2006/main">
  <authors>
    <author>João Cunha</author>
  </authors>
  <commentList>
    <comment ref="J44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44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<sst xmlns="http://schemas.openxmlformats.org/spreadsheetml/2006/main" count="183" uniqueCount="113">
  <si>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</si>
  <si>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</si>
  <si>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</si>
  <si>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</si>
  <si>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</si>
  <si>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</si>
  <si>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</si>
  <si>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</si>
  <si>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</si>
  <si>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</si>
  <si>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</si>
  <si>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</si>
  <si>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</si>
  <si>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</si>
  <si>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</si>
  <si>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</si>
  <si>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</si>
  <si>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</si>
  <si>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</si>
  <si>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</si>
  <si>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</si>
  <si>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</si>
  <si>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</si>
  <si>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</si>
  <si>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</si>
  <si>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</si>
  <si>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</si>
  <si>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</si>
  <si>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</si>
  <si>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</si>
  <si>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</si>
  <si>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</si>
  <si>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</si>
  <si>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</si>
  <si>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</si>
  <si>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</si>
  <si>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</si>
  <si>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</si>
  <si>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</si>
  <si>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</si>
  <si>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</si>
  <si>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</si>
  <si>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</si>
  <si>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</si>
  <si>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</si>
  <si>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</si>
  <si>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</si>
  <si>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</si>
  <si>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</si>
  <si>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</si>
  <si>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</si>
  <si>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</si>
  <si>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</si>
  <si>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</si>
  <si>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</si>
  <si>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</si>
  <si>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</si>
  <si>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</si>
  <si>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</si>
  <si>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</si>
  <si>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</si>
  <si>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</si>
  <si>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</si>
  <si>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</si>
  <si>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</si>
  <si>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</si>
  <si>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</si>
  <si>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</si>
  <si>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</si>
  <si>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</si>
  <si>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</si>
  <si>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</si>
  <si>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</si>
  <si>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</si>
  <si>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</si>
  <si>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</si>
  <si>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</si>
  <si>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</si>
  <si>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</si>
  <si>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</si>
  <si>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</si>
  <si>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</si>
  <si>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</si>
  <si>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</si>
  <si>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</si>
  <si>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</si>
  <si>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</si>
  <si>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</si>
  <si>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</si>
  <si>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</si>
  <si>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</si>
  <si>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</si>
  <si>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</si>
  <si>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</si>
  <si>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</si>
  <si>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</si>
  <si>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</si>
  <si>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</si>
  <si>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</si>
  <si>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</si>
  <si>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</si>
  <si>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</si>
  <si>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</si>
  <si>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</si>
  <si>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</si>
  <si>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</si>
  <si>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</si>
  <si>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</si>
  <si>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</si>
  <si>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>DS</t>
  </si>
  <si>
    <t xml:space="preserve"> </t>
  </si>
  <si>
    <t>Acceptance Tests Planning</t>
  </si>
  <si>
    <t xml:space="preserve">Integration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</si>
</sst>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6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0" fontId="3" fillId="0" borderId="10" xfId="0" applyFont="1" applyBorder="1" applyAlignment="1" applyProtection="1">
      <alignment horizontal="center"/>
      <protection locked="0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13" borderId="10" xfId="0" applyNumberFormat="1" applyFont="1" applyFill="1" applyBorder="1" applyAlignment="1" applyProtection="1">
      <alignment horizontal="center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</cellXfs>
  <cellStyles count="4">
    <cellStyle name="Normal" xfId="0" builtinId="0"/>
    <cellStyle name="Normal 2" xfId="1"/>
    <cellStyle name="Normal 3" xfId="2"/>
    <cellStyle name="Percent 2" xfId="3"/>
  </cellStyles>
  <dxfs count="20"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Tracking'!$C$44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Tracking'!$N$43:$W$43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Tracking'!$N$44:$W$44</c:f>
              <c:numCache>
                <c:formatCode>General</c:formatCode>
                <c:ptCount val="10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Tracking'!$C$45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Tracking'!$N$43:$W$43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Tracking'!$N$45:$W$45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25.25</c:v>
                </c:pt>
                <c:pt idx="4">
                  <c:v>48.25</c:v>
                </c:pt>
                <c:pt idx="5">
                  <c:v>64.25</c:v>
                </c:pt>
                <c:pt idx="6">
                  <c:v>101.25</c:v>
                </c:pt>
                <c:pt idx="7">
                  <c:v>101.25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Tracking'!$C$46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Tracking'!$N$43:$W$43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Tracking'!$N$46:$W$46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Tracking'!$C$47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Tracking'!$N$43:$W$43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Tracking'!$N$47:$W$47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433368"/>
        <c:axId val="188433760"/>
      </c:lineChart>
      <c:catAx>
        <c:axId val="188433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8433760"/>
        <c:crosses val="autoZero"/>
        <c:auto val="0"/>
        <c:lblAlgn val="ctr"/>
        <c:lblOffset val="100"/>
        <c:noMultiLvlLbl val="0"/>
      </c:catAx>
      <c:valAx>
        <c:axId val="18843376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84333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0" zoomScaleNormal="100" workbookViewId="0">
      <selection activeCell="B20" sqref="B20"/>
    </sheetView>
  </sheetViews>
  <sheetFormatPr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7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2"/>
  <sheetViews>
    <sheetView showGridLines="0" tabSelected="1" zoomScaleNormal="100" workbookViewId="0">
      <pane xSplit="6" ySplit="2" topLeftCell="G6" activePane="bottomRight" state="frozen"/>
      <selection pane="topRight" activeCell="F1" sqref="F1"/>
      <selection pane="bottomLeft" activeCell="A3" sqref="A3"/>
      <selection pane="bottomRight" activeCell="J12" sqref="J12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22.140625" style="40" customWidth="1"/>
    <col min="6" max="6" width="6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73" t="s">
        <v>9</v>
      </c>
      <c r="H1" s="74"/>
      <c r="I1" s="74"/>
      <c r="J1" s="74"/>
      <c r="K1" s="75"/>
      <c r="L1" s="76" t="s">
        <v>11</v>
      </c>
      <c r="M1" s="77"/>
      <c r="N1" s="7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>O2+7+ISNUMBER(MATCH(O2+7,$Z$2:$AG$2,0))*7</f>
        <v>41379</v>
      </c>
      <c r="Q2" s="27">
        <f t="shared" ref="Q2:W2" si="0">P2+7+ISNUMBER(MATCH(P2+7,$Z$2:$AG$2,0))*7</f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2.25" customHeight="1" x14ac:dyDescent="0.2">
      <c r="A3" s="18"/>
      <c r="B3" s="4">
        <v>1</v>
      </c>
      <c r="C3" s="69" t="s">
        <v>69</v>
      </c>
      <c r="D3" s="69" t="s">
        <v>70</v>
      </c>
      <c r="E3" s="69" t="s">
        <v>17</v>
      </c>
      <c r="F3" s="17"/>
      <c r="G3" s="45">
        <v>41372</v>
      </c>
      <c r="H3" s="45">
        <f ca="1">IF(OR(ISBLANK($G$3),ISBLANK($C3)),"",OFFSET($O$2,0,J3+MATCH(G3,$O$2:$W$2,0)-1))</f>
        <v>41372</v>
      </c>
      <c r="I3" s="46"/>
      <c r="J3" s="43">
        <v>0.14000000000000001</v>
      </c>
      <c r="K3" s="3">
        <v>1</v>
      </c>
      <c r="L3" s="55" t="str">
        <f t="array" ref="L3">IF(ISNA(INDEX($O$2:$DA$2,1,MATCH(1,IF($O3:$DM3,1),0))),"",INDEX($O$2:$DA$2,1,MATCH(1,IF($O3:$DM3,1),0)))</f>
        <v/>
      </c>
      <c r="M3" s="55" t="str">
        <f t="shared" ref="M3:M40" si="1">IF(ISNA(MATCH("X",O3:W3,0)),"",INDEX($O$2:$X$2,1,MATCH("X",O3:W3,0)-1))</f>
        <v/>
      </c>
      <c r="N3" s="56">
        <f t="shared" ref="N3:N40" si="2">SUM(O3:CG3)</f>
        <v>0</v>
      </c>
      <c r="O3" s="51"/>
      <c r="P3" s="51"/>
      <c r="Q3" s="51" t="str">
        <f t="shared" ref="Q3:W40" si="3">IF(ISNUMBER(P3)," ",IF(P3="X","X"," "))</f>
        <v xml:space="preserve"> </v>
      </c>
      <c r="R3" s="51" t="str">
        <f t="shared" si="3"/>
        <v xml:space="preserve"> </v>
      </c>
      <c r="S3" s="51" t="str">
        <f t="shared" ref="S3:T40" si="4">IF(ISNUMBER(R3)," ",IF(R3="X","X"," "))</f>
        <v xml:space="preserve"> </v>
      </c>
      <c r="T3" s="51" t="str">
        <f t="shared" si="4"/>
        <v xml:space="preserve"> </v>
      </c>
      <c r="U3" s="51" t="str">
        <f t="shared" ref="U3:U40" si="5">IF(ISNUMBER(T3)," ",IF(T3="X","X"," "))</f>
        <v xml:space="preserve"> </v>
      </c>
      <c r="V3" s="51" t="str">
        <f t="shared" si="3"/>
        <v xml:space="preserve"> </v>
      </c>
      <c r="W3" s="51" t="str">
        <f t="shared" si="3"/>
        <v xml:space="preserve"> 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9" t="s">
        <v>69</v>
      </c>
      <c r="D4" s="69" t="s">
        <v>71</v>
      </c>
      <c r="E4" s="69"/>
      <c r="F4" s="17"/>
      <c r="G4" s="45">
        <v>41372</v>
      </c>
      <c r="H4" s="45">
        <f t="shared" ref="H4:H7" ca="1" si="6">IF(OR(ISBLANK($G$3),ISBLANK($C4)),"",OFFSET($O$2,0,J4+MATCH(G4,$O$2:$W$2,0)-1))</f>
        <v>41379</v>
      </c>
      <c r="I4" s="46"/>
      <c r="J4" s="43">
        <v>1</v>
      </c>
      <c r="K4" s="3">
        <v>4</v>
      </c>
      <c r="L4" s="55" t="str">
        <f t="array" ref="L4">IF(ISNA(INDEX($O$2:$DA$2,1,MATCH(1,IF($O4:$DM4,1),0))),"",INDEX($O$2:$DA$2,1,MATCH(1,IF($O4:$DM4,1),0)))</f>
        <v/>
      </c>
      <c r="M4" s="55" t="str">
        <f t="shared" si="1"/>
        <v/>
      </c>
      <c r="N4" s="56">
        <f t="shared" si="2"/>
        <v>0</v>
      </c>
      <c r="O4" s="51"/>
      <c r="P4" s="51"/>
      <c r="Q4" s="51"/>
      <c r="R4" s="51"/>
      <c r="S4" s="51"/>
      <c r="T4" s="51"/>
      <c r="U4" s="51"/>
      <c r="V4" s="51"/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9" t="s">
        <v>69</v>
      </c>
      <c r="D5" s="69" t="s">
        <v>72</v>
      </c>
      <c r="E5" s="69"/>
      <c r="F5" s="17"/>
      <c r="G5" s="45">
        <v>41386</v>
      </c>
      <c r="H5" s="45">
        <v>41393</v>
      </c>
      <c r="I5" s="46"/>
      <c r="J5" s="43">
        <v>0.11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2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9" t="s">
        <v>69</v>
      </c>
      <c r="D6" s="69" t="s">
        <v>73</v>
      </c>
      <c r="E6" s="69"/>
      <c r="F6" s="17"/>
      <c r="G6" s="45">
        <v>41375</v>
      </c>
      <c r="H6" s="45">
        <v>41393</v>
      </c>
      <c r="I6" s="46"/>
      <c r="J6" s="43">
        <v>1.43</v>
      </c>
      <c r="K6" s="3">
        <v>10</v>
      </c>
      <c r="L6" s="55" t="str">
        <f t="array" ref="L6">IF(ISNA(INDEX($O$2:$DA$2,1,MATCH(1,IF($O6:$DM6,1),0))),"",INDEX($O$2:$DA$2,1,MATCH(1,IF($O6:$DM6,1),0)))</f>
        <v/>
      </c>
      <c r="M6" s="55" t="str">
        <f t="shared" si="1"/>
        <v/>
      </c>
      <c r="N6" s="56">
        <f t="shared" si="2"/>
        <v>0</v>
      </c>
      <c r="O6" s="51"/>
      <c r="P6" s="51"/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9" t="s">
        <v>69</v>
      </c>
      <c r="D7" s="69" t="s">
        <v>111</v>
      </c>
      <c r="E7" s="69" t="s">
        <v>110</v>
      </c>
      <c r="F7" s="17"/>
      <c r="G7" s="45">
        <v>41380</v>
      </c>
      <c r="H7" s="45">
        <v>41393</v>
      </c>
      <c r="I7" s="46"/>
      <c r="J7" s="43">
        <v>0.86</v>
      </c>
      <c r="K7" s="3">
        <v>6</v>
      </c>
      <c r="L7" s="55"/>
      <c r="M7" s="55"/>
      <c r="N7" s="56">
        <f t="shared" si="2"/>
        <v>0</v>
      </c>
      <c r="O7" s="51"/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9" t="s">
        <v>69</v>
      </c>
      <c r="D8" s="69" t="s">
        <v>74</v>
      </c>
      <c r="E8" s="69" t="s">
        <v>75</v>
      </c>
      <c r="F8" s="17"/>
      <c r="G8" s="45">
        <v>41386</v>
      </c>
      <c r="H8" s="45">
        <v>41393</v>
      </c>
      <c r="I8" s="46"/>
      <c r="J8" s="43">
        <v>0.28999999999999998</v>
      </c>
      <c r="K8" s="3">
        <v>2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2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9" t="s">
        <v>69</v>
      </c>
      <c r="D9" s="69" t="s">
        <v>74</v>
      </c>
      <c r="E9" s="69" t="s">
        <v>76</v>
      </c>
      <c r="F9" s="17"/>
      <c r="G9" s="45">
        <v>41393</v>
      </c>
      <c r="H9" s="45">
        <v>41407</v>
      </c>
      <c r="I9" s="46"/>
      <c r="J9" s="43">
        <v>0.43</v>
      </c>
      <c r="K9" s="3">
        <v>3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2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9" t="s">
        <v>69</v>
      </c>
      <c r="D10" s="69" t="s">
        <v>74</v>
      </c>
      <c r="E10" s="70" t="s">
        <v>77</v>
      </c>
      <c r="F10" s="17"/>
      <c r="G10" s="45">
        <v>41393</v>
      </c>
      <c r="H10" s="45">
        <v>41407</v>
      </c>
      <c r="I10" s="46"/>
      <c r="J10" s="43">
        <v>0.56999999999999995</v>
      </c>
      <c r="K10" s="3">
        <v>4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2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87">
        <v>9</v>
      </c>
      <c r="C11" s="88" t="s">
        <v>69</v>
      </c>
      <c r="D11" s="89" t="s">
        <v>78</v>
      </c>
      <c r="E11" s="89"/>
      <c r="F11" s="90"/>
      <c r="G11" s="98">
        <v>41393</v>
      </c>
      <c r="H11" s="98">
        <v>41407</v>
      </c>
      <c r="I11" s="99"/>
      <c r="J11" s="100">
        <v>0.28999999999999998</v>
      </c>
      <c r="K11" s="101">
        <v>2</v>
      </c>
      <c r="L11" s="102" t="str">
        <f t="array" ref="L11">IF(ISNA(INDEX($O$2:$DA$2,1,MATCH(1,IF($O11:$DM11,1),0))),"",INDEX($O$2:$DA$2,1,MATCH(1,IF($O11:$DM11,1),0)))</f>
        <v/>
      </c>
      <c r="M11" s="102" t="str">
        <f t="shared" si="1"/>
        <v/>
      </c>
      <c r="N11" s="103">
        <f t="shared" si="2"/>
        <v>0</v>
      </c>
      <c r="O11" s="104"/>
      <c r="P11" s="104"/>
      <c r="Q11" s="104"/>
      <c r="R11" s="104"/>
      <c r="S11" s="104"/>
      <c r="T11" s="104"/>
      <c r="U11" s="104"/>
      <c r="V11" s="104"/>
      <c r="W11" s="104"/>
      <c r="X11" s="105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84">
        <v>10</v>
      </c>
      <c r="C12" s="85" t="s">
        <v>79</v>
      </c>
      <c r="D12" s="85" t="s">
        <v>80</v>
      </c>
      <c r="E12" s="85" t="s">
        <v>81</v>
      </c>
      <c r="F12" s="86"/>
      <c r="G12" s="91">
        <v>41386</v>
      </c>
      <c r="H12" s="91">
        <v>41393</v>
      </c>
      <c r="I12" s="92"/>
      <c r="J12" s="92">
        <v>1</v>
      </c>
      <c r="K12" s="93">
        <v>1.5</v>
      </c>
      <c r="L12" s="94" t="str">
        <f t="array" ref="L12">IF(ISNA(INDEX($O$2:$DA$2,1,MATCH(1,IF($O12:$DM12,1),0))),"",INDEX($O$2:$DA$2,1,MATCH(1,IF($O12:$DM12,1),0)))</f>
        <v/>
      </c>
      <c r="M12" s="94" t="str">
        <f t="shared" si="1"/>
        <v/>
      </c>
      <c r="N12" s="95">
        <f t="shared" si="2"/>
        <v>0</v>
      </c>
      <c r="O12" s="96"/>
      <c r="P12" s="96"/>
      <c r="Q12" s="96"/>
      <c r="R12" s="96"/>
      <c r="S12" s="96" t="str">
        <f t="shared" si="4"/>
        <v xml:space="preserve"> </v>
      </c>
      <c r="T12" s="96" t="str">
        <f t="shared" si="4"/>
        <v xml:space="preserve"> </v>
      </c>
      <c r="U12" s="96" t="str">
        <f t="shared" si="5"/>
        <v xml:space="preserve"> </v>
      </c>
      <c r="V12" s="96" t="str">
        <f t="shared" si="3"/>
        <v xml:space="preserve"> </v>
      </c>
      <c r="W12" s="96" t="str">
        <f t="shared" ref="W12" si="7">IF(ISNUMBER(V12)," ",IF(V12="X","X"," "))</f>
        <v xml:space="preserve"> </v>
      </c>
      <c r="X12" s="97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customHeight="1" x14ac:dyDescent="0.2">
      <c r="A13" s="18"/>
      <c r="B13" s="4">
        <v>11</v>
      </c>
      <c r="C13" s="69" t="s">
        <v>79</v>
      </c>
      <c r="D13" s="69" t="s">
        <v>80</v>
      </c>
      <c r="E13" s="69" t="s">
        <v>82</v>
      </c>
      <c r="F13" s="17"/>
      <c r="G13" s="45">
        <f ca="1">IF(OR(ISBLANK($G$3),ISBLANK($C13)),"",OFFSET($O$2,0,I13+MATCH(G12,$O$2:$W$2,0)-1))</f>
        <v>41386</v>
      </c>
      <c r="H13" s="45">
        <v>41407</v>
      </c>
      <c r="I13" s="43"/>
      <c r="J13" s="43">
        <v>1.5</v>
      </c>
      <c r="K13" s="3">
        <v>2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2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5"/>
        <v xml:space="preserve"> </v>
      </c>
      <c r="V13" s="51" t="str">
        <f t="shared" si="3"/>
        <v xml:space="preserve"> </v>
      </c>
      <c r="W13" s="51" t="str">
        <f t="shared" ref="W13" si="8">IF(ISNUMBER(V13)," ",IF(V13="X","X"," "))</f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9" t="s">
        <v>79</v>
      </c>
      <c r="D14" s="69" t="s">
        <v>83</v>
      </c>
      <c r="E14" s="69" t="s">
        <v>84</v>
      </c>
      <c r="F14" s="17"/>
      <c r="G14" s="45">
        <v>41393</v>
      </c>
      <c r="H14" s="45">
        <v>41414</v>
      </c>
      <c r="I14" s="43"/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2"/>
        <v>0</v>
      </c>
      <c r="O14" s="51"/>
      <c r="P14" s="51"/>
      <c r="Q14" s="51"/>
      <c r="R14" s="51"/>
      <c r="S14" s="51"/>
      <c r="T14" s="51" t="str">
        <f t="shared" si="4"/>
        <v xml:space="preserve"> </v>
      </c>
      <c r="U14" s="51" t="str">
        <f t="shared" si="5"/>
        <v xml:space="preserve"> </v>
      </c>
      <c r="V14" s="51" t="str">
        <f t="shared" ref="V14:V37" si="9">IF(ISNUMBER(U14)," ",IF(U14="X","X"," "))</f>
        <v xml:space="preserve"> </v>
      </c>
      <c r="W14" s="51" t="str">
        <f t="shared" ref="W14:W37" si="10">IF(ISNUMBER(V14)," ",IF(V14="X","X"," "))</f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9" t="s">
        <v>79</v>
      </c>
      <c r="D15" s="69" t="s">
        <v>85</v>
      </c>
      <c r="E15" s="69" t="s">
        <v>86</v>
      </c>
      <c r="F15" s="17"/>
      <c r="G15" s="45">
        <v>41393</v>
      </c>
      <c r="H15" s="45">
        <v>41407</v>
      </c>
      <c r="I15" s="43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2"/>
        <v>0</v>
      </c>
      <c r="O15" s="51"/>
      <c r="P15" s="51" t="str">
        <f t="shared" ref="P15:Q15" si="11">IF(ISNUMBER(O15)," ",IF(O15="X","X"," "))</f>
        <v xml:space="preserve"> </v>
      </c>
      <c r="Q15" s="51" t="str">
        <f t="shared" si="11"/>
        <v xml:space="preserve"> </v>
      </c>
      <c r="R15" s="51"/>
      <c r="S15" s="51" t="str">
        <f t="shared" si="4"/>
        <v xml:space="preserve"> </v>
      </c>
      <c r="T15" s="51" t="str">
        <f t="shared" si="4"/>
        <v xml:space="preserve"> </v>
      </c>
      <c r="U15" s="51" t="str">
        <f t="shared" si="5"/>
        <v xml:space="preserve"> </v>
      </c>
      <c r="V15" s="51" t="str">
        <f t="shared" si="9"/>
        <v xml:space="preserve"> </v>
      </c>
      <c r="W15" s="51" t="str">
        <f t="shared" si="10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9" t="s">
        <v>79</v>
      </c>
      <c r="D16" s="69" t="s">
        <v>89</v>
      </c>
      <c r="E16" s="69" t="s">
        <v>87</v>
      </c>
      <c r="F16" s="17"/>
      <c r="G16" s="45">
        <f ca="1">IF(OR(ISBLANK($G$3),ISBLANK($C16)),"",OFFSET($O$2,0,I16+MATCH(G15,$O$2:$W$2,0)-1))</f>
        <v>41393</v>
      </c>
      <c r="H16" s="45">
        <v>41407</v>
      </c>
      <c r="I16" s="43"/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2"/>
        <v>0</v>
      </c>
      <c r="O16" s="51"/>
      <c r="P16" s="51" t="str">
        <f t="shared" ref="P16" si="12">IF(ISNUMBER(O16)," ",IF(O16="X","X"," "))</f>
        <v xml:space="preserve"> </v>
      </c>
      <c r="Q16" s="51"/>
      <c r="R16" s="51"/>
      <c r="S16" s="51" t="str">
        <f t="shared" si="4"/>
        <v xml:space="preserve"> </v>
      </c>
      <c r="T16" s="51" t="str">
        <f t="shared" si="4"/>
        <v xml:space="preserve"> </v>
      </c>
      <c r="U16" s="51" t="str">
        <f t="shared" si="5"/>
        <v xml:space="preserve"> </v>
      </c>
      <c r="V16" s="51" t="str">
        <f t="shared" si="9"/>
        <v xml:space="preserve"> </v>
      </c>
      <c r="W16" s="51" t="str">
        <f t="shared" si="10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9" t="s">
        <v>79</v>
      </c>
      <c r="D17" s="69" t="s">
        <v>85</v>
      </c>
      <c r="E17" s="69" t="s">
        <v>112</v>
      </c>
      <c r="F17" s="17"/>
      <c r="G17" s="45">
        <v>41407</v>
      </c>
      <c r="H17" s="45">
        <v>41414</v>
      </c>
      <c r="I17" s="43"/>
      <c r="J17" s="43">
        <v>1</v>
      </c>
      <c r="K17" s="3">
        <v>1</v>
      </c>
      <c r="L17" s="55"/>
      <c r="M17" s="55"/>
      <c r="N17" s="56"/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9" t="s">
        <v>79</v>
      </c>
      <c r="D18" s="69" t="s">
        <v>90</v>
      </c>
      <c r="E18" s="69" t="s">
        <v>86</v>
      </c>
      <c r="F18" s="17"/>
      <c r="G18" s="45">
        <v>41393</v>
      </c>
      <c r="H18" s="45">
        <v>41407</v>
      </c>
      <c r="I18" s="43"/>
      <c r="J18" s="43">
        <v>1</v>
      </c>
      <c r="K18" s="3">
        <v>1</v>
      </c>
      <c r="L18" s="55"/>
      <c r="M18" s="55"/>
      <c r="N18" s="56"/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9" t="s">
        <v>79</v>
      </c>
      <c r="D19" s="69" t="s">
        <v>90</v>
      </c>
      <c r="E19" s="69" t="s">
        <v>87</v>
      </c>
      <c r="F19" s="17"/>
      <c r="G19" s="45">
        <v>41393</v>
      </c>
      <c r="H19" s="45">
        <v>41407</v>
      </c>
      <c r="I19" s="43"/>
      <c r="J19" s="43">
        <v>1</v>
      </c>
      <c r="K19" s="3">
        <v>3</v>
      </c>
      <c r="L19" s="55"/>
      <c r="M19" s="55"/>
      <c r="N19" s="56"/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9" t="s">
        <v>79</v>
      </c>
      <c r="D20" s="69" t="s">
        <v>90</v>
      </c>
      <c r="E20" s="69" t="s">
        <v>88</v>
      </c>
      <c r="F20" s="17"/>
      <c r="G20" s="45">
        <v>41407</v>
      </c>
      <c r="H20" s="45">
        <v>41414</v>
      </c>
      <c r="I20" s="43"/>
      <c r="J20" s="43">
        <v>1</v>
      </c>
      <c r="K20" s="3">
        <v>1</v>
      </c>
      <c r="L20" s="55"/>
      <c r="M20" s="55"/>
      <c r="N20" s="56"/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9" t="s">
        <v>79</v>
      </c>
      <c r="D21" s="69" t="s">
        <v>91</v>
      </c>
      <c r="E21" s="69" t="s">
        <v>86</v>
      </c>
      <c r="F21" s="17"/>
      <c r="G21" s="45">
        <v>41393</v>
      </c>
      <c r="H21" s="45">
        <v>41407</v>
      </c>
      <c r="I21" s="43"/>
      <c r="J21" s="43">
        <v>1</v>
      </c>
      <c r="K21" s="3">
        <v>1</v>
      </c>
      <c r="L21" s="55"/>
      <c r="M21" s="55"/>
      <c r="N21" s="56"/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9" t="s">
        <v>79</v>
      </c>
      <c r="D22" s="69" t="s">
        <v>91</v>
      </c>
      <c r="E22" s="69" t="s">
        <v>87</v>
      </c>
      <c r="F22" s="17"/>
      <c r="G22" s="45">
        <v>41393</v>
      </c>
      <c r="H22" s="45">
        <v>41407</v>
      </c>
      <c r="I22" s="43"/>
      <c r="J22" s="43">
        <v>1</v>
      </c>
      <c r="K22" s="3">
        <v>3</v>
      </c>
      <c r="L22" s="55"/>
      <c r="M22" s="55"/>
      <c r="N22" s="56"/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9" t="s">
        <v>79</v>
      </c>
      <c r="D23" s="69" t="s">
        <v>91</v>
      </c>
      <c r="E23" s="69" t="s">
        <v>88</v>
      </c>
      <c r="F23" s="17"/>
      <c r="G23" s="45">
        <v>41407</v>
      </c>
      <c r="H23" s="45">
        <v>41414</v>
      </c>
      <c r="I23" s="43"/>
      <c r="J23" s="43">
        <v>1</v>
      </c>
      <c r="K23" s="3">
        <v>1</v>
      </c>
      <c r="L23" s="55"/>
      <c r="M23" s="55"/>
      <c r="N23" s="56"/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9" t="s">
        <v>79</v>
      </c>
      <c r="D24" s="69" t="s">
        <v>92</v>
      </c>
      <c r="E24" s="69" t="s">
        <v>93</v>
      </c>
      <c r="F24" s="17"/>
      <c r="G24" s="45">
        <v>41407</v>
      </c>
      <c r="H24" s="45">
        <v>41421</v>
      </c>
      <c r="I24" s="43"/>
      <c r="J24" s="43">
        <v>2</v>
      </c>
      <c r="K24" s="3">
        <v>8</v>
      </c>
      <c r="L24" s="55"/>
      <c r="M24" s="55"/>
      <c r="N24" s="56"/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9" t="s">
        <v>79</v>
      </c>
      <c r="D25" s="69" t="s">
        <v>92</v>
      </c>
      <c r="E25" s="69" t="s">
        <v>94</v>
      </c>
      <c r="F25" s="17"/>
      <c r="G25" s="45">
        <v>41407</v>
      </c>
      <c r="H25" s="45">
        <v>41414</v>
      </c>
      <c r="I25" s="43"/>
      <c r="J25" s="43">
        <v>1</v>
      </c>
      <c r="K25" s="3">
        <v>1</v>
      </c>
      <c r="L25" s="55"/>
      <c r="M25" s="55"/>
      <c r="N25" s="56"/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9" t="s">
        <v>79</v>
      </c>
      <c r="D26" s="69" t="s">
        <v>92</v>
      </c>
      <c r="E26" s="69" t="s">
        <v>95</v>
      </c>
      <c r="F26" s="17"/>
      <c r="G26" s="45">
        <v>41407</v>
      </c>
      <c r="H26" s="45">
        <v>41421</v>
      </c>
      <c r="I26" s="43"/>
      <c r="J26" s="43">
        <v>2</v>
      </c>
      <c r="K26" s="3">
        <v>6</v>
      </c>
      <c r="L26" s="55"/>
      <c r="M26" s="55"/>
      <c r="N26" s="56"/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9" t="s">
        <v>79</v>
      </c>
      <c r="D27" s="69" t="s">
        <v>92</v>
      </c>
      <c r="E27" s="69" t="s">
        <v>96</v>
      </c>
      <c r="F27" s="17"/>
      <c r="G27" s="45">
        <v>41407</v>
      </c>
      <c r="H27" s="45">
        <v>41414</v>
      </c>
      <c r="I27" s="43"/>
      <c r="J27" s="43">
        <v>1</v>
      </c>
      <c r="K27" s="3">
        <v>1</v>
      </c>
      <c r="L27" s="55"/>
      <c r="M27" s="55"/>
      <c r="N27" s="56"/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9" t="s">
        <v>79</v>
      </c>
      <c r="D28" s="69" t="s">
        <v>92</v>
      </c>
      <c r="E28" s="69" t="s">
        <v>88</v>
      </c>
      <c r="F28" s="17"/>
      <c r="G28" s="45">
        <v>41414</v>
      </c>
      <c r="H28" s="45">
        <v>41421</v>
      </c>
      <c r="I28" s="43"/>
      <c r="J28" s="43">
        <v>1</v>
      </c>
      <c r="K28" s="3">
        <v>2</v>
      </c>
      <c r="L28" s="55"/>
      <c r="M28" s="55"/>
      <c r="N28" s="56"/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9" t="s">
        <v>79</v>
      </c>
      <c r="D29" s="69" t="s">
        <v>97</v>
      </c>
      <c r="E29" s="69" t="s">
        <v>86</v>
      </c>
      <c r="F29" s="17"/>
      <c r="G29" s="45">
        <v>41407</v>
      </c>
      <c r="H29" s="45">
        <v>41414</v>
      </c>
      <c r="I29" s="43"/>
      <c r="J29" s="43">
        <v>1</v>
      </c>
      <c r="K29" s="3">
        <v>1</v>
      </c>
      <c r="L29" s="55"/>
      <c r="M29" s="55"/>
      <c r="N29" s="56"/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9" t="s">
        <v>79</v>
      </c>
      <c r="D30" s="69" t="s">
        <v>97</v>
      </c>
      <c r="E30" s="69" t="s">
        <v>87</v>
      </c>
      <c r="F30" s="17"/>
      <c r="G30" s="45">
        <v>41407</v>
      </c>
      <c r="H30" s="45">
        <v>41414</v>
      </c>
      <c r="I30" s="43"/>
      <c r="J30" s="43">
        <v>1</v>
      </c>
      <c r="K30" s="3">
        <v>3</v>
      </c>
      <c r="L30" s="55"/>
      <c r="M30" s="55"/>
      <c r="N30" s="56"/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9" t="s">
        <v>79</v>
      </c>
      <c r="D31" s="69" t="s">
        <v>97</v>
      </c>
      <c r="E31" s="69" t="s">
        <v>88</v>
      </c>
      <c r="F31" s="17"/>
      <c r="G31" s="45">
        <v>41414</v>
      </c>
      <c r="H31" s="45">
        <v>41421</v>
      </c>
      <c r="I31" s="43"/>
      <c r="J31" s="43">
        <v>1</v>
      </c>
      <c r="K31" s="3">
        <v>1</v>
      </c>
      <c r="L31" s="55"/>
      <c r="M31" s="55"/>
      <c r="N31" s="56"/>
      <c r="O31" s="51"/>
      <c r="P31" s="51"/>
      <c r="Q31" s="51"/>
      <c r="R31" s="51"/>
      <c r="S31" s="51"/>
      <c r="T31" s="51"/>
      <c r="U31" s="51"/>
      <c r="V31" s="51"/>
      <c r="W31" s="51"/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9" t="s">
        <v>79</v>
      </c>
      <c r="D32" s="69" t="s">
        <v>83</v>
      </c>
      <c r="E32" s="28" t="s">
        <v>98</v>
      </c>
      <c r="F32" s="17"/>
      <c r="G32" s="45">
        <v>41407</v>
      </c>
      <c r="H32" s="45">
        <v>41421</v>
      </c>
      <c r="I32" s="43"/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2"/>
        <v>0</v>
      </c>
      <c r="O32" s="51"/>
      <c r="P32" s="51" t="str">
        <f t="shared" ref="P32" si="13">IF(ISNUMBER(O32)," ",IF(O32="X","X"," "))</f>
        <v xml:space="preserve"> </v>
      </c>
      <c r="Q32" s="51"/>
      <c r="R32" s="51"/>
      <c r="S32" s="51" t="str">
        <f t="shared" si="4"/>
        <v xml:space="preserve"> </v>
      </c>
      <c r="T32" s="51" t="str">
        <f t="shared" si="4"/>
        <v xml:space="preserve"> </v>
      </c>
      <c r="U32" s="51" t="str">
        <f t="shared" si="5"/>
        <v xml:space="preserve"> </v>
      </c>
      <c r="V32" s="51" t="str">
        <f t="shared" si="9"/>
        <v xml:space="preserve"> </v>
      </c>
      <c r="W32" s="51" t="str">
        <f t="shared" si="10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customHeight="1" x14ac:dyDescent="0.2">
      <c r="A33" s="18"/>
      <c r="B33" s="4">
        <v>31</v>
      </c>
      <c r="C33" s="69" t="s">
        <v>79</v>
      </c>
      <c r="D33" s="69" t="s">
        <v>83</v>
      </c>
      <c r="E33" s="69" t="s">
        <v>99</v>
      </c>
      <c r="F33" s="17"/>
      <c r="G33" s="45">
        <f t="shared" ref="G33:G40" ca="1" si="14">IF(OR(ISBLANK($G$3),ISBLANK($C33)),"",OFFSET($O$2,0,I33+MATCH(G32,$O$2:$W$2,0)-1))</f>
        <v>41407</v>
      </c>
      <c r="H33" s="45">
        <v>41421</v>
      </c>
      <c r="I33" s="43"/>
      <c r="J33" s="43">
        <v>2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2"/>
        <v>0</v>
      </c>
      <c r="O33" s="51"/>
      <c r="P33" s="51" t="str">
        <f t="shared" ref="P33:R33" si="15">IF(ISNUMBER(O33)," ",IF(O33="X","X"," "))</f>
        <v xml:space="preserve"> </v>
      </c>
      <c r="Q33" s="51" t="str">
        <f t="shared" si="15"/>
        <v xml:space="preserve"> </v>
      </c>
      <c r="R33" s="51" t="str">
        <f t="shared" si="15"/>
        <v xml:space="preserve"> </v>
      </c>
      <c r="S33" s="51" t="str">
        <f t="shared" si="4"/>
        <v xml:space="preserve"> </v>
      </c>
      <c r="T33" s="51" t="str">
        <f t="shared" si="4"/>
        <v xml:space="preserve"> </v>
      </c>
      <c r="U33" s="51" t="str">
        <f t="shared" si="5"/>
        <v xml:space="preserve"> </v>
      </c>
      <c r="V33" s="51" t="str">
        <f t="shared" si="9"/>
        <v xml:space="preserve"> </v>
      </c>
      <c r="W33" s="51" t="str">
        <f t="shared" si="10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customHeight="1" x14ac:dyDescent="0.2">
      <c r="A34" s="18"/>
      <c r="B34" s="4">
        <v>32</v>
      </c>
      <c r="C34" s="69" t="s">
        <v>79</v>
      </c>
      <c r="D34" s="69" t="s">
        <v>100</v>
      </c>
      <c r="E34" s="69" t="s">
        <v>75</v>
      </c>
      <c r="F34" s="17"/>
      <c r="G34" s="45">
        <v>41407</v>
      </c>
      <c r="H34" s="45">
        <v>41414</v>
      </c>
      <c r="I34" s="43"/>
      <c r="J34" s="43">
        <v>1</v>
      </c>
      <c r="K34" s="3">
        <v>2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2"/>
        <v>0</v>
      </c>
      <c r="O34" s="51"/>
      <c r="P34" s="51" t="str">
        <f t="shared" ref="P34:R34" si="16">IF(ISNUMBER(O34)," ",IF(O34="X","X"," "))</f>
        <v xml:space="preserve"> </v>
      </c>
      <c r="Q34" s="51" t="str">
        <f t="shared" si="16"/>
        <v xml:space="preserve"> </v>
      </c>
      <c r="R34" s="51" t="str">
        <f t="shared" si="16"/>
        <v xml:space="preserve"> </v>
      </c>
      <c r="S34" s="51" t="str">
        <f t="shared" si="4"/>
        <v xml:space="preserve"> </v>
      </c>
      <c r="T34" s="51" t="str">
        <f t="shared" si="4"/>
        <v xml:space="preserve"> </v>
      </c>
      <c r="U34" s="51" t="str">
        <f t="shared" si="5"/>
        <v xml:space="preserve"> </v>
      </c>
      <c r="V34" s="51" t="str">
        <f t="shared" si="9"/>
        <v xml:space="preserve"> </v>
      </c>
      <c r="W34" s="51" t="str">
        <f t="shared" si="10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9" t="s">
        <v>79</v>
      </c>
      <c r="D35" s="69" t="s">
        <v>100</v>
      </c>
      <c r="E35" s="69" t="s">
        <v>76</v>
      </c>
      <c r="F35" s="17"/>
      <c r="G35" s="45">
        <f t="shared" ca="1" si="14"/>
        <v>41407</v>
      </c>
      <c r="H35" s="45">
        <v>41421</v>
      </c>
      <c r="I35" s="43"/>
      <c r="J35" s="43">
        <v>1.5</v>
      </c>
      <c r="K35" s="3">
        <v>3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2"/>
        <v>0</v>
      </c>
      <c r="O35" s="51"/>
      <c r="P35" s="51" t="str">
        <f t="shared" ref="P35:R35" si="17">IF(ISNUMBER(O35)," ",IF(O35="X","X"," "))</f>
        <v xml:space="preserve"> </v>
      </c>
      <c r="Q35" s="51" t="str">
        <f t="shared" si="17"/>
        <v xml:space="preserve"> </v>
      </c>
      <c r="R35" s="51" t="str">
        <f t="shared" si="17"/>
        <v xml:space="preserve"> </v>
      </c>
      <c r="S35" s="51" t="str">
        <f t="shared" si="4"/>
        <v xml:space="preserve"> </v>
      </c>
      <c r="T35" s="51" t="str">
        <f t="shared" si="4"/>
        <v xml:space="preserve"> </v>
      </c>
      <c r="U35" s="51" t="str">
        <f t="shared" si="5"/>
        <v xml:space="preserve"> </v>
      </c>
      <c r="V35" s="51" t="str">
        <f t="shared" si="9"/>
        <v xml:space="preserve"> </v>
      </c>
      <c r="W35" s="51" t="str">
        <f t="shared" si="10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9" t="s">
        <v>79</v>
      </c>
      <c r="D36" s="69" t="s">
        <v>100</v>
      </c>
      <c r="E36" s="69" t="s">
        <v>77</v>
      </c>
      <c r="F36" s="17"/>
      <c r="G36" s="45">
        <v>41414</v>
      </c>
      <c r="H36" s="45">
        <v>41421</v>
      </c>
      <c r="I36" s="43"/>
      <c r="J36" s="43">
        <v>1</v>
      </c>
      <c r="K36" s="3">
        <v>4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2"/>
        <v>0</v>
      </c>
      <c r="O36" s="51"/>
      <c r="P36" s="51" t="str">
        <f t="shared" ref="P36:R36" si="18">IF(ISNUMBER(O36)," ",IF(O36="X","X"," "))</f>
        <v xml:space="preserve"> </v>
      </c>
      <c r="Q36" s="51" t="str">
        <f t="shared" si="18"/>
        <v xml:space="preserve"> </v>
      </c>
      <c r="R36" s="51" t="str">
        <f t="shared" si="18"/>
        <v xml:space="preserve"> </v>
      </c>
      <c r="S36" s="51" t="str">
        <f t="shared" si="4"/>
        <v xml:space="preserve"> </v>
      </c>
      <c r="T36" s="51" t="str">
        <f t="shared" si="4"/>
        <v xml:space="preserve"> </v>
      </c>
      <c r="U36" s="51" t="str">
        <f t="shared" si="5"/>
        <v xml:space="preserve"> </v>
      </c>
      <c r="V36" s="51" t="str">
        <f t="shared" si="9"/>
        <v xml:space="preserve"> </v>
      </c>
      <c r="W36" s="51" t="str">
        <f t="shared" si="10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5.5" customHeight="1" x14ac:dyDescent="0.2">
      <c r="A37" s="18"/>
      <c r="B37" s="4">
        <v>35</v>
      </c>
      <c r="C37" s="69" t="s">
        <v>79</v>
      </c>
      <c r="D37" s="69" t="s">
        <v>101</v>
      </c>
      <c r="E37" s="69" t="s">
        <v>102</v>
      </c>
      <c r="F37" s="17"/>
      <c r="G37" s="45">
        <v>41421</v>
      </c>
      <c r="H37" s="45">
        <v>41435</v>
      </c>
      <c r="I37" s="43"/>
      <c r="J37" s="43">
        <v>2</v>
      </c>
      <c r="K37" s="3">
        <v>6.5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2"/>
        <v>0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4"/>
        <v xml:space="preserve"> </v>
      </c>
      <c r="T37" s="51" t="str">
        <f t="shared" si="4"/>
        <v xml:space="preserve"> </v>
      </c>
      <c r="U37" s="51" t="str">
        <f t="shared" si="5"/>
        <v xml:space="preserve"> </v>
      </c>
      <c r="V37" s="51" t="str">
        <f t="shared" si="9"/>
        <v xml:space="preserve"> </v>
      </c>
      <c r="W37" s="51" t="str">
        <f t="shared" si="10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ht="24.75" customHeight="1" x14ac:dyDescent="0.2">
      <c r="A38" s="18"/>
      <c r="B38" s="4">
        <v>36</v>
      </c>
      <c r="C38" s="69" t="s">
        <v>79</v>
      </c>
      <c r="D38" s="69" t="s">
        <v>101</v>
      </c>
      <c r="E38" s="69" t="s">
        <v>103</v>
      </c>
      <c r="F38" s="17"/>
      <c r="G38" s="45">
        <v>41421</v>
      </c>
      <c r="H38" s="45">
        <v>41435</v>
      </c>
      <c r="I38" s="43"/>
      <c r="J38" s="43">
        <v>2</v>
      </c>
      <c r="K38" s="3">
        <v>6.5</v>
      </c>
      <c r="L38" s="55" t="str">
        <f t="array" ref="L38">IF(ISNA(INDEX($O$2:$DA$2,1,MATCH(1,IF($O38:$DM38,1),0))),"",INDEX($O$2:$DA$2,1,MATCH(1,IF($O38:$DM38,1),0)))</f>
        <v/>
      </c>
      <c r="M38" s="55" t="str">
        <f t="shared" si="1"/>
        <v/>
      </c>
      <c r="N38" s="56">
        <f t="shared" si="2"/>
        <v>0</v>
      </c>
      <c r="O38" s="51"/>
      <c r="P38" s="51" t="str">
        <f t="shared" ref="P38:W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4"/>
        <v xml:space="preserve"> </v>
      </c>
      <c r="T38" s="51" t="str">
        <f t="shared" si="4"/>
        <v xml:space="preserve"> </v>
      </c>
      <c r="U38" s="51" t="str">
        <f t="shared" si="5"/>
        <v xml:space="preserve"> </v>
      </c>
      <c r="V38" s="51" t="str">
        <f t="shared" si="3"/>
        <v xml:space="preserve"> </v>
      </c>
      <c r="W38" s="51" t="str">
        <f t="shared" si="20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/>
      <c r="C39" s="69"/>
      <c r="D39" s="69"/>
      <c r="E39" s="69"/>
      <c r="F39" s="17"/>
      <c r="G39" s="45" t="str">
        <f t="shared" ca="1" si="14"/>
        <v/>
      </c>
      <c r="H39" s="45" t="str">
        <f t="shared" ref="H32:H39" ca="1" si="21">IF(OR(ISBLANK($G$3),ISBLANK($C39)),"",OFFSET($O$2,0,J39+MATCH(G39,$O$2:$W$2,0)-1))</f>
        <v/>
      </c>
      <c r="I39" s="43"/>
      <c r="J39" s="43"/>
      <c r="K39" s="3"/>
      <c r="L39" s="55" t="str">
        <f t="array" ref="L39">IF(ISNA(INDEX($O$2:$DA$2,1,MATCH(1,IF($O39:$DM39,1),0))),"",INDEX($O$2:$DA$2,1,MATCH(1,IF($O39:$DM39,1),0)))</f>
        <v/>
      </c>
      <c r="M39" s="55" t="str">
        <f t="shared" si="1"/>
        <v/>
      </c>
      <c r="N39" s="56">
        <f t="shared" si="2"/>
        <v>0</v>
      </c>
      <c r="O39" s="51"/>
      <c r="P39" s="51" t="str">
        <f t="shared" ref="P39:W39" si="22">IF(ISNUMBER(O39)," ",IF(O39="X","X"," "))</f>
        <v xml:space="preserve"> </v>
      </c>
      <c r="Q39" s="51" t="str">
        <f t="shared" si="22"/>
        <v xml:space="preserve"> </v>
      </c>
      <c r="R39" s="51" t="str">
        <f t="shared" si="22"/>
        <v xml:space="preserve"> </v>
      </c>
      <c r="S39" s="51" t="str">
        <f t="shared" si="4"/>
        <v xml:space="preserve"> </v>
      </c>
      <c r="T39" s="51" t="str">
        <f t="shared" si="4"/>
        <v xml:space="preserve"> </v>
      </c>
      <c r="U39" s="51" t="str">
        <f t="shared" si="5"/>
        <v xml:space="preserve"> </v>
      </c>
      <c r="V39" s="51" t="str">
        <f t="shared" si="3"/>
        <v xml:space="preserve"> </v>
      </c>
      <c r="W39" s="51" t="str">
        <f t="shared" si="22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/>
      <c r="C40" s="4"/>
      <c r="D40" s="4"/>
      <c r="E40" s="4"/>
      <c r="F40" s="17"/>
      <c r="G40" s="45" t="str">
        <f t="shared" ca="1" si="14"/>
        <v/>
      </c>
      <c r="H40" s="45" t="str">
        <f ca="1">IF(OR(ISBLANK($G$3),ISBLANK($C40)),"",OFFSET($O$2,0,J40))</f>
        <v/>
      </c>
      <c r="I40" s="43"/>
      <c r="J40" s="43"/>
      <c r="K40" s="3"/>
      <c r="L40" s="55" t="str">
        <f t="array" ref="L40">IF(ISNA(INDEX($O$2:$DA$2,1,MATCH(1,IF($O40:$DM40,1),0))),"",INDEX($O$2:$DA$2,1,MATCH(1,IF($O40:$DM40,1),0)))</f>
        <v/>
      </c>
      <c r="M40" s="55" t="str">
        <f t="shared" si="1"/>
        <v/>
      </c>
      <c r="N40" s="56">
        <f t="shared" si="2"/>
        <v>0</v>
      </c>
      <c r="O40" s="51"/>
      <c r="P40" s="51" t="str">
        <f t="shared" ref="P40" si="23">IF(ISNUMBER(O40)," ",IF(O40="X","X"," "))</f>
        <v xml:space="preserve"> </v>
      </c>
      <c r="Q40" s="51" t="str">
        <f t="shared" ref="Q40" si="24">IF(ISNUMBER(P40)," ",IF(P40="X","X"," "))</f>
        <v xml:space="preserve"> </v>
      </c>
      <c r="R40" s="51" t="str">
        <f t="shared" ref="R40" si="25">IF(ISNUMBER(Q40)," ",IF(Q40="X","X"," "))</f>
        <v xml:space="preserve"> </v>
      </c>
      <c r="S40" s="51" t="str">
        <f t="shared" si="4"/>
        <v xml:space="preserve"> </v>
      </c>
      <c r="T40" s="51" t="str">
        <f t="shared" si="4"/>
        <v xml:space="preserve"> </v>
      </c>
      <c r="U40" s="51" t="str">
        <f t="shared" si="5"/>
        <v xml:space="preserve"> </v>
      </c>
      <c r="V40" s="51" t="str">
        <f t="shared" si="3"/>
        <v xml:space="preserve"> </v>
      </c>
      <c r="W40" s="51" t="str">
        <f t="shared" ref="W40" si="26">IF(ISNUMBER(V40)," ",IF(V40="X","X"," "))</f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18"/>
      <c r="C41" s="18"/>
      <c r="D41" s="18"/>
      <c r="E41" s="18"/>
      <c r="F41" s="18"/>
      <c r="G41" s="18"/>
      <c r="H41" s="18"/>
      <c r="I41" s="64" t="s">
        <v>59</v>
      </c>
      <c r="J41" s="48">
        <f>MATCH(MAX($O$2:$W$2),$O$2:$W$2,0)-1</f>
        <v>8</v>
      </c>
      <c r="K41" s="18"/>
      <c r="L41" s="18"/>
      <c r="M41" s="18"/>
      <c r="N41" s="38" t="s">
        <v>61</v>
      </c>
      <c r="O41" s="56">
        <f>SUM(O3:O40)</f>
        <v>0</v>
      </c>
      <c r="P41" s="56">
        <f>SUM(P3:P40)</f>
        <v>0</v>
      </c>
      <c r="Q41" s="56">
        <f>SUM(Q3:Q40)</f>
        <v>0</v>
      </c>
      <c r="R41" s="56">
        <f>SUM(R3:R40)</f>
        <v>0</v>
      </c>
      <c r="S41" s="56">
        <f>SUM(S3:S40)</f>
        <v>0</v>
      </c>
      <c r="T41" s="56">
        <f>SUM(T3:T40)</f>
        <v>0</v>
      </c>
      <c r="U41" s="56">
        <f>SUM(U3:U40)</f>
        <v>0</v>
      </c>
      <c r="V41" s="56">
        <f>SUM(V3:V40)</f>
        <v>0</v>
      </c>
      <c r="W41" s="56">
        <f>SUM(W3:W40)</f>
        <v>0</v>
      </c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18"/>
      <c r="C42" s="18"/>
      <c r="D42" s="18"/>
      <c r="E42" s="18"/>
      <c r="F42" s="18"/>
      <c r="G42" s="18"/>
      <c r="H42" s="18"/>
      <c r="I42" s="82" t="s">
        <v>60</v>
      </c>
      <c r="J42" s="83"/>
      <c r="K42" s="48">
        <f>K44/J41</f>
        <v>14.28125</v>
      </c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ht="48.75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27">
        <f>IF(OR(ISBLANK(O2),O2=$X$2),"",O2)</f>
        <v>41372</v>
      </c>
      <c r="O43" s="27">
        <f>IF(OR(ISBLANK(P2),P2=$X$2),"",P2)</f>
        <v>41379</v>
      </c>
      <c r="P43" s="27">
        <f>IF(OR(ISBLANK(Q2),Q2=$X$2),"",Q2)</f>
        <v>41386</v>
      </c>
      <c r="Q43" s="27">
        <f>IF(OR(ISBLANK(R2),R2=$X$2),"",R2)</f>
        <v>41393</v>
      </c>
      <c r="R43" s="27">
        <f>IF(OR(ISBLANK(S2),S2=$X$2),"",S2)</f>
        <v>41407</v>
      </c>
      <c r="S43" s="27">
        <f>IF(OR(ISBLANK(T2),T2=$X$2),"",T2)</f>
        <v>41414</v>
      </c>
      <c r="T43" s="27">
        <f>IF(OR(ISBLANK(U2),U2=$X$2),"",U2)</f>
        <v>41421</v>
      </c>
      <c r="U43" s="27">
        <f>IF(OR(ISBLANK(V2),V2=$X$2),"",V2)</f>
        <v>41428</v>
      </c>
      <c r="V43" s="27">
        <f>IF(OR(ISBLANK(W2),W2=$X$2),"",W2)</f>
        <v>41435</v>
      </c>
      <c r="W43" s="27" t="str">
        <f>IF(OR(ISBLANK(X2),X2=$X$2),"",X2)</f>
        <v/>
      </c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</row>
    <row r="44" spans="1:34" s="33" customFormat="1" ht="12.75" customHeight="1" x14ac:dyDescent="0.2">
      <c r="A44" s="29"/>
      <c r="B44" s="29"/>
      <c r="C44" s="79" t="s">
        <v>0</v>
      </c>
      <c r="D44" s="80"/>
      <c r="E44" s="80"/>
      <c r="F44" s="80"/>
      <c r="G44" s="80"/>
      <c r="H44" s="80"/>
      <c r="I44" s="81"/>
      <c r="J44" s="30">
        <f ca="1">MAX(H3:H39)-MIN(G3:G39)</f>
        <v>63</v>
      </c>
      <c r="K44" s="30">
        <f>SUM(K3:K40)</f>
        <v>114.25</v>
      </c>
      <c r="L44" s="31"/>
      <c r="M44" s="32"/>
      <c r="N44" s="68">
        <v>140</v>
      </c>
      <c r="O44" s="50">
        <f t="shared" ref="O44:U44" si="27">IF(O43="","",N44)</f>
        <v>140</v>
      </c>
      <c r="P44" s="50">
        <f t="shared" si="27"/>
        <v>140</v>
      </c>
      <c r="Q44" s="50">
        <f t="shared" si="27"/>
        <v>140</v>
      </c>
      <c r="R44" s="50">
        <f t="shared" si="27"/>
        <v>140</v>
      </c>
      <c r="S44" s="50">
        <f t="shared" si="27"/>
        <v>140</v>
      </c>
      <c r="T44" s="50">
        <f t="shared" si="27"/>
        <v>140</v>
      </c>
      <c r="U44" s="50">
        <f t="shared" si="27"/>
        <v>140</v>
      </c>
      <c r="V44" s="50"/>
      <c r="W44" s="50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s="33" customFormat="1" ht="12.75" customHeight="1" x14ac:dyDescent="0.2">
      <c r="A45" s="29"/>
      <c r="B45" s="29"/>
      <c r="C45" s="59" t="s">
        <v>31</v>
      </c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34">
        <f t="array" aca="1" ref="N45" ca="1">IF(N43="","",M45+IF(ISNA(VLOOKUP(O2,$H$2:$H$40,2,FALSE)),0,SUM(IF($H$2:$K$40=O2,$K$2:$K$40))))</f>
        <v>1</v>
      </c>
      <c r="O45" s="34">
        <f t="array" aca="1" ref="O45" ca="1">IF(O43="","",N45+IF(ISNA(VLOOKUP(P2,$H$2:$H$40,2,FALSE)),0,SUM(IF($H$2:$K$40=P2,$K$2:$K$40))))</f>
        <v>5</v>
      </c>
      <c r="P45" s="34">
        <f t="array" aca="1" ref="P45" ca="1">IF(P43="","",O45+IF(ISNA(VLOOKUP(Q2,$H$2:$H$40,2,FALSE)),0,SUM(IF($H$2:$K$40=Q2,$K$2:$K$40))))</f>
        <v>5</v>
      </c>
      <c r="Q45" s="34">
        <f t="array" aca="1" ref="Q45" ca="1">IF(Q43="","",P45+IF(ISNA(VLOOKUP(R2,$H$2:$H$40,2,FALSE)),0,SUM(IF($H$2:$K$40=R2,$K$2:$K$40))))</f>
        <v>25.25</v>
      </c>
      <c r="R45" s="34">
        <f t="array" aca="1" ref="R45" ca="1">IF(R43="","",Q45+IF(ISNA(VLOOKUP(S2,$H$2:$H$40,2,FALSE)),0,SUM(IF($H$2:$K$40=S2,$K$2:$K$40))))</f>
        <v>48.25</v>
      </c>
      <c r="S45" s="34">
        <f t="array" aca="1" ref="S45" ca="1">IF(S43="","",R45+IF(ISNA(VLOOKUP(T2,$H$2:$H$40,2,FALSE)),0,SUM(IF($H$2:$K$40=T2,$K$2:$K$40))))</f>
        <v>64.25</v>
      </c>
      <c r="T45" s="34">
        <f t="array" aca="1" ref="T45" ca="1">IF(T43="","",S45+IF(ISNA(VLOOKUP(U2,$H$2:$H$40,2,FALSE)),0,SUM(IF($H$2:$K$40=U2,$K$2:$K$40))))</f>
        <v>101.25</v>
      </c>
      <c r="U45" s="34">
        <f t="array" aca="1" ref="U45" ca="1">IF(U43="","",T45+IF(ISNA(VLOOKUP(V2,$H$2:$H$40,2,FALSE)),0,SUM(IF($H$2:$K$40=V2,$K$2:$K$40))))</f>
        <v>101.25</v>
      </c>
      <c r="V45" s="34"/>
      <c r="W45" s="34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</row>
    <row r="46" spans="1:34" ht="12.75" customHeight="1" x14ac:dyDescent="0.2">
      <c r="A46" s="18"/>
      <c r="B46" s="18"/>
      <c r="C46" s="61" t="s">
        <v>15</v>
      </c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5">
        <v>0</v>
      </c>
      <c r="O46" s="6">
        <f>SUMIFS($K$3:$K$40,P3:P40,"=X")</f>
        <v>0</v>
      </c>
      <c r="P46" s="6">
        <f>SUMIFS($K$3:$K$40,Q3:Q40,"=X")</f>
        <v>0</v>
      </c>
      <c r="Q46" s="6">
        <f>SUMIFS($K$3:$K$40,R3:R40,"=X")</f>
        <v>0</v>
      </c>
      <c r="R46" s="6">
        <f>SUMIFS($K$3:$K$40,S3:S40,"=X")</f>
        <v>0</v>
      </c>
      <c r="S46" s="6"/>
      <c r="T46" s="6"/>
      <c r="U46" s="6"/>
      <c r="V46" s="6"/>
      <c r="W46" s="6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18"/>
      <c r="C47" s="63" t="s">
        <v>32</v>
      </c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66">
        <v>0</v>
      </c>
      <c r="O47" s="6">
        <f>SUM(O3:O40)+N47</f>
        <v>0</v>
      </c>
      <c r="P47" s="6">
        <f>SUM(P3:P40)+O47</f>
        <v>0</v>
      </c>
      <c r="Q47" s="6">
        <f>SUM(Q3:Q40)+P47</f>
        <v>0</v>
      </c>
      <c r="R47" s="6">
        <f>SUM(R3:R40)+Q47</f>
        <v>0</v>
      </c>
      <c r="S47" s="6"/>
      <c r="T47" s="6"/>
      <c r="U47" s="6"/>
      <c r="V47" s="6"/>
      <c r="W47" s="6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s="22" customFormat="1" x14ac:dyDescent="0.2">
      <c r="A48" s="18"/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35"/>
      <c r="M48" s="35"/>
      <c r="N48" s="35"/>
      <c r="O48" s="36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35"/>
      <c r="M49" s="71" t="s">
        <v>19</v>
      </c>
      <c r="N49" s="72"/>
      <c r="O49" s="20" t="s">
        <v>18</v>
      </c>
      <c r="P49" s="21"/>
      <c r="Q49" s="21"/>
      <c r="R49" s="21"/>
      <c r="S49" s="21"/>
      <c r="T49" s="21"/>
      <c r="U49" s="21"/>
      <c r="V49" s="21"/>
      <c r="W49" s="21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48.75" x14ac:dyDescent="0.2">
      <c r="A50" s="18"/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35"/>
      <c r="M50" s="23" t="s">
        <v>5</v>
      </c>
      <c r="N50" s="23" t="s">
        <v>7</v>
      </c>
      <c r="O50" s="27">
        <f t="shared" ref="O50:V50" si="28">O2</f>
        <v>41372</v>
      </c>
      <c r="P50" s="39">
        <f t="shared" si="28"/>
        <v>41379</v>
      </c>
      <c r="Q50" s="39">
        <f t="shared" si="28"/>
        <v>41386</v>
      </c>
      <c r="R50" s="39">
        <f t="shared" si="28"/>
        <v>41393</v>
      </c>
      <c r="S50" s="39">
        <f t="shared" si="28"/>
        <v>41407</v>
      </c>
      <c r="T50" s="39">
        <f t="shared" si="28"/>
        <v>41414</v>
      </c>
      <c r="U50" s="39">
        <f t="shared" si="28"/>
        <v>41421</v>
      </c>
      <c r="V50" s="39">
        <f t="shared" si="28"/>
        <v>41428</v>
      </c>
      <c r="W50" s="39"/>
      <c r="X50" s="23" t="s">
        <v>13</v>
      </c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35"/>
      <c r="M51" s="49" t="s">
        <v>104</v>
      </c>
      <c r="N51" s="37">
        <f>SUM(O51:CG51)</f>
        <v>0</v>
      </c>
      <c r="O51" s="37">
        <f>SUMIF($F$3:$F$40,$M51,O$3:O$40)</f>
        <v>0</v>
      </c>
      <c r="P51" s="37">
        <f>SUMIF($F$3:$F$40,$M51,P$3:P$40)</f>
        <v>0</v>
      </c>
      <c r="Q51" s="37">
        <f>SUMIF($F$3:$F$40,$M51,Q$3:Q$40)</f>
        <v>0</v>
      </c>
      <c r="R51" s="37">
        <f>SUMIF($F$3:$F$40,$M51,R$3:R$40)</f>
        <v>0</v>
      </c>
      <c r="S51" s="37">
        <f>SUMIF($F$3:$F$40,$M51,S$3:S$40)</f>
        <v>0</v>
      </c>
      <c r="T51" s="37">
        <f>SUMIF($F$3:$F$40,$M51,T$3:T$40)</f>
        <v>0</v>
      </c>
      <c r="U51" s="37">
        <f>SUMIF($F$3:$F$40,$M51,U$3:U$40)</f>
        <v>0</v>
      </c>
      <c r="V51" s="37">
        <f>SUMIF($F$3:$F$40,$M51,V$3:V$40)</f>
        <v>0</v>
      </c>
      <c r="W51" s="37">
        <f>SUMIF($F$3:$F$40,$M51,W$3:W$40)</f>
        <v>0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x14ac:dyDescent="0.2">
      <c r="A52" s="18"/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35"/>
      <c r="M52" s="49" t="s">
        <v>105</v>
      </c>
      <c r="N52" s="37">
        <f>SUM(O52:CG52)</f>
        <v>0</v>
      </c>
      <c r="O52" s="37">
        <f>SUMIF($F$3:$F$40,$M52,O$3:O$40)</f>
        <v>0</v>
      </c>
      <c r="P52" s="37">
        <f>SUMIF($F$3:$F$40,$M52,P$3:P$40)</f>
        <v>0</v>
      </c>
      <c r="Q52" s="37">
        <f>SUMIF($F$3:$F$40,$M52,Q$3:Q$40)</f>
        <v>0</v>
      </c>
      <c r="R52" s="37">
        <f>SUMIF($F$3:$F$40,$M52,R$3:R$40)</f>
        <v>0</v>
      </c>
      <c r="S52" s="37">
        <f>SUMIF($F$3:$F$40,$M52,S$3:S$40)</f>
        <v>0</v>
      </c>
      <c r="T52" s="37">
        <f>SUMIF($F$3:$F$40,$M52,T$3:T$40)</f>
        <v>0</v>
      </c>
      <c r="U52" s="37">
        <f>SUMIF($F$3:$F$40,$M52,U$3:U$40)</f>
        <v>0</v>
      </c>
      <c r="V52" s="37">
        <f>SUMIF($F$3:$F$40,$M52,V$3:V$40)</f>
        <v>0</v>
      </c>
      <c r="W52" s="37">
        <f>SUMIF($F$3:$F$40,$M52,W$3:W$40)</f>
        <v>0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35"/>
      <c r="M53" s="49" t="s">
        <v>106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x14ac:dyDescent="0.2">
      <c r="A54" s="18"/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35"/>
      <c r="M54" s="49" t="s">
        <v>108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x14ac:dyDescent="0.2">
      <c r="A55" s="18"/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35"/>
      <c r="M55" s="49" t="s">
        <v>109</v>
      </c>
      <c r="N55" s="37">
        <v>0</v>
      </c>
      <c r="O55" s="37">
        <v>0</v>
      </c>
      <c r="P55" s="37">
        <v>0</v>
      </c>
      <c r="Q55" s="37">
        <v>0</v>
      </c>
      <c r="R55" s="37">
        <v>0</v>
      </c>
      <c r="S55" s="37">
        <v>0</v>
      </c>
      <c r="T55" s="37">
        <v>0</v>
      </c>
      <c r="U55" s="37">
        <v>0</v>
      </c>
      <c r="V55" s="37">
        <v>0</v>
      </c>
      <c r="W55" s="37">
        <v>0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x14ac:dyDescent="0.2">
      <c r="A56" s="18"/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35"/>
      <c r="M56" s="49" t="s">
        <v>108</v>
      </c>
      <c r="N56" s="37">
        <v>0</v>
      </c>
      <c r="O56" s="37">
        <v>0</v>
      </c>
      <c r="P56" s="37">
        <v>0</v>
      </c>
      <c r="Q56" s="37">
        <v>0</v>
      </c>
      <c r="R56" s="37">
        <v>0</v>
      </c>
      <c r="S56" s="37">
        <v>0</v>
      </c>
      <c r="T56" s="37">
        <v>0</v>
      </c>
      <c r="U56" s="37">
        <v>0</v>
      </c>
      <c r="V56" s="37">
        <v>0</v>
      </c>
      <c r="W56" s="37">
        <v>0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49" t="s">
        <v>107</v>
      </c>
      <c r="N57" s="37">
        <f>SUM(O57:CG57)</f>
        <v>0</v>
      </c>
      <c r="O57" s="37">
        <f>SUMIF($F$3:$F$40,$M57,O$3:O$40)</f>
        <v>0</v>
      </c>
      <c r="P57" s="37">
        <f>SUMIF($F$3:$F$40,$M57,P$3:P$40)</f>
        <v>0</v>
      </c>
      <c r="Q57" s="37">
        <f>SUMIF($F$3:$F$40,$M57,Q$3:Q$40)</f>
        <v>0</v>
      </c>
      <c r="R57" s="37">
        <f>SUMIF($F$3:$F$40,$M57,R$3:R$40)</f>
        <v>0</v>
      </c>
      <c r="S57" s="37">
        <f>SUMIF($F$3:$F$40,$M57,S$3:S$40)</f>
        <v>0</v>
      </c>
      <c r="T57" s="37">
        <f>SUMIF($F$3:$F$40,$M57,T$3:T$40)</f>
        <v>0</v>
      </c>
      <c r="U57" s="37">
        <f>SUMIF($F$3:$F$40,$M57,U$3:U$40)</f>
        <v>0</v>
      </c>
      <c r="V57" s="37">
        <f>SUMIF($F$3:$F$40,$M57,V$3:V$40)</f>
        <v>0</v>
      </c>
      <c r="W57" s="37">
        <v>0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x14ac:dyDescent="0.2">
      <c r="A58" s="18"/>
      <c r="B58" s="18"/>
      <c r="C58" s="19"/>
      <c r="D58" s="19"/>
      <c r="E58" s="19"/>
      <c r="F58" s="19"/>
      <c r="G58" s="19"/>
      <c r="H58" s="19"/>
      <c r="I58" s="57"/>
      <c r="J58" s="19"/>
      <c r="K58" s="19"/>
      <c r="L58" s="35"/>
      <c r="M58" s="49"/>
      <c r="N58" s="37">
        <f>SUM(O58:CG58)</f>
        <v>0</v>
      </c>
      <c r="O58" s="37">
        <f>SUMIF($F$3:$F$40,$M58,O$3:O$40)</f>
        <v>0</v>
      </c>
      <c r="P58" s="37">
        <f>SUMIF($F$3:$F$40,$M58,P$3:P$40)</f>
        <v>0</v>
      </c>
      <c r="Q58" s="37">
        <f>SUMIF($F$3:$F$40,$M58,Q$3:Q$40)</f>
        <v>0</v>
      </c>
      <c r="R58" s="37">
        <f>SUMIF($F$3:$F$40,$M58,R$3:R$40)</f>
        <v>0</v>
      </c>
      <c r="S58" s="37">
        <f>SUMIF($F$3:$F$40,$M58,S$3:S$40)</f>
        <v>0</v>
      </c>
      <c r="T58" s="37">
        <f>SUMIF($F$3:$F$40,$M58,T$3:T$40)</f>
        <v>0</v>
      </c>
      <c r="U58" s="37">
        <f>SUMIF($F$3:$F$40,$M58,U$3:U$40)</f>
        <v>0</v>
      </c>
      <c r="V58" s="37">
        <f>SUMIF($F$3:$F$40,$M58,V$3:V$40)</f>
        <v>0</v>
      </c>
      <c r="W58" s="37">
        <f>SUMIF($F$3:$F$40,$M58,W$3:W$40)</f>
        <v>0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12.75" customHeight="1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47" t="s">
        <v>20</v>
      </c>
      <c r="N59" s="48">
        <f>SUM(N51:N58)</f>
        <v>0</v>
      </c>
      <c r="O59" s="48">
        <f t="shared" ref="O59:W59" si="29">SUM(O51:O58)</f>
        <v>0</v>
      </c>
      <c r="P59" s="48">
        <f t="shared" si="29"/>
        <v>0</v>
      </c>
      <c r="Q59" s="48">
        <f t="shared" si="29"/>
        <v>0</v>
      </c>
      <c r="R59" s="48">
        <f t="shared" si="29"/>
        <v>0</v>
      </c>
      <c r="S59" s="48">
        <f t="shared" si="29"/>
        <v>0</v>
      </c>
      <c r="T59" s="48">
        <f t="shared" si="29"/>
        <v>0</v>
      </c>
      <c r="U59" s="48">
        <f t="shared" si="29"/>
        <v>0</v>
      </c>
      <c r="V59" s="48">
        <f t="shared" si="29"/>
        <v>0</v>
      </c>
      <c r="W59" s="48">
        <f t="shared" si="29"/>
        <v>0</v>
      </c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35"/>
      <c r="N60" s="35"/>
      <c r="O60" s="36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35"/>
      <c r="N61" s="35"/>
      <c r="O61" s="36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35"/>
      <c r="N62" s="35"/>
      <c r="O62" s="36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35"/>
      <c r="N63" s="35"/>
      <c r="O63" s="36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58" t="e">
        <f>MATCH(R2,Y2:AC2,0)</f>
        <v>#N/A</v>
      </c>
      <c r="N64" s="35"/>
      <c r="O64" s="36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35"/>
      <c r="N65" s="35"/>
      <c r="O65" s="36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35"/>
      <c r="N66" s="35"/>
      <c r="O66" s="36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35"/>
      <c r="N68" s="35"/>
      <c r="O68" s="36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35"/>
      <c r="N72" s="35"/>
      <c r="O72" s="36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49:N49"/>
    <mergeCell ref="G1:K1"/>
    <mergeCell ref="L1:N1"/>
    <mergeCell ref="C44:I44"/>
    <mergeCell ref="I42:J42"/>
  </mergeCells>
  <conditionalFormatting sqref="L3:M40">
    <cfRule type="containsBlanks" priority="65" stopIfTrue="1">
      <formula>LEN(TRIM(L3))=0</formula>
    </cfRule>
  </conditionalFormatting>
  <conditionalFormatting sqref="M13:M40">
    <cfRule type="cellIs" dxfId="19" priority="117" operator="greaterThan">
      <formula>#REF!</formula>
    </cfRule>
    <cfRule type="cellIs" dxfId="18" priority="118" operator="lessThan">
      <formula>#REF!</formula>
    </cfRule>
  </conditionalFormatting>
  <conditionalFormatting sqref="L3:M40">
    <cfRule type="cellIs" dxfId="17" priority="124" operator="greaterThan">
      <formula>G3</formula>
    </cfRule>
    <cfRule type="cellIs" dxfId="16" priority="125" operator="lessThan">
      <formula>G3</formula>
    </cfRule>
  </conditionalFormatting>
  <conditionalFormatting sqref="N3:N40">
    <cfRule type="cellIs" priority="128" stopIfTrue="1" operator="equal">
      <formula>0</formula>
    </cfRule>
    <cfRule type="cellIs" dxfId="15" priority="129" operator="lessThan">
      <formula>K3</formula>
    </cfRule>
    <cfRule type="cellIs" dxfId="14" priority="130" operator="greaterThan">
      <formula>K3</formula>
    </cfRule>
  </conditionalFormatting>
  <conditionalFormatting sqref="O44:W44">
    <cfRule type="expression" dxfId="13" priority="145">
      <formula>O44=N$44</formula>
    </cfRule>
  </conditionalFormatting>
  <conditionalFormatting sqref="O46:W46">
    <cfRule type="cellIs" dxfId="12" priority="22" operator="greaterThan">
      <formula>0</formula>
    </cfRule>
  </conditionalFormatting>
  <conditionalFormatting sqref="O47:W47">
    <cfRule type="cellIs" dxfId="11" priority="21" operator="greaterThan">
      <formula>0</formula>
    </cfRule>
  </conditionalFormatting>
  <conditionalFormatting sqref="G3:H40">
    <cfRule type="expression" dxfId="0" priority="11">
      <formula>FormulaInCell</formula>
    </cfRule>
  </conditionalFormatting>
  <conditionalFormatting sqref="O3:W40">
    <cfRule type="cellIs" dxfId="10" priority="18" operator="equal">
      <formula>"X"</formula>
    </cfRule>
    <cfRule type="cellIs" dxfId="9" priority="19" operator="greaterThan">
      <formula>0</formula>
    </cfRule>
    <cfRule type="expression" dxfId="8" priority="20">
      <formula>AND(O$2&gt;=$G3,O$2&lt;$H3,ISNUMBER(O3))</formula>
    </cfRule>
    <cfRule type="expression" dxfId="7" priority="23">
      <formula>AND(O$2&gt;=$G3,O$2&lt;$H3)</formula>
    </cfRule>
    <cfRule type="expression" dxfId="6" priority="24">
      <formula>AND(ISNUMBER(O3))</formula>
    </cfRule>
  </conditionalFormatting>
  <conditionalFormatting sqref="O2:W2">
    <cfRule type="expression" dxfId="5" priority="10">
      <formula>O2&gt;MAX($H$3:$H$40)</formula>
    </cfRule>
  </conditionalFormatting>
  <conditionalFormatting sqref="O50:W50">
    <cfRule type="expression" dxfId="4" priority="6">
      <formula>O50&gt;MAX($H$3:$H$40)</formula>
    </cfRule>
  </conditionalFormatting>
  <conditionalFormatting sqref="N43:W43">
    <cfRule type="expression" dxfId="3" priority="4">
      <formula>N43&gt;MAX($H$3:$H$40)</formula>
    </cfRule>
  </conditionalFormatting>
  <conditionalFormatting sqref="O41:W41">
    <cfRule type="cellIs" priority="1" stopIfTrue="1" operator="equal">
      <formula>0</formula>
    </cfRule>
    <cfRule type="cellIs" dxfId="2" priority="2" operator="lessThan">
      <formula>$K$42</formula>
    </cfRule>
    <cfRule type="cellIs" dxfId="1" priority="3" operator="greaterThan">
      <formula>$K$42</formula>
    </cfRule>
  </conditionalFormatting>
  <dataValidations count="2">
    <dataValidation type="decimal" allowBlank="1" showInputMessage="1" showErrorMessage="1" error="Please enter a valid number." sqref="WSV983042:WTE983045 WIZ983042:WJI983045 VZD983042:VZM983045 VPH983042:VPQ983045 VFL983042:VFU983045 UVP983042:UVY983045 ULT983042:UMC983045 UBX983042:UCG983045 TSB983042:TSK983045 TIF983042:TIO983045 SYJ983042:SYS983045 SON983042:SOW983045 SER983042:SFA983045 RUV983042:RVE983045 RKZ983042:RLI983045 RBD983042:RBM983045 QRH983042:QRQ983045 QHL983042:QHU983045 PXP983042:PXY983045 PNT983042:POC983045 PDX983042:PEG983045 OUB983042:OUK983045 OKF983042:OKO983045 OAJ983042:OAS983045 NQN983042:NQW983045 NGR983042:NHA983045 MWV983042:MXE983045 MMZ983042:MNI983045 MDD983042:MDM983045 LTH983042:LTQ983045 LJL983042:LJU983045 KZP983042:KZY983045 KPT983042:KQC983045 KFX983042:KGG983045 JWB983042:JWK983045 JMF983042:JMO983045 JCJ983042:JCS983045 ISN983042:ISW983045 IIR983042:IJA983045 HYV983042:HZE983045 HOZ983042:HPI983045 HFD983042:HFM983045 GVH983042:GVQ983045 GLL983042:GLU983045 GBP983042:GBY983045 FRT983042:FSC983045 FHX983042:FIG983045 EYB983042:EYK983045 EOF983042:EOO983045 EEJ983042:EES983045 DUN983042:DUW983045 DKR983042:DLA983045 DAV983042:DBE983045 CQZ983042:CRI983045 CHD983042:CHM983045 BXH983042:BXQ983045 BNL983042:BNU983045 BDP983042:BDY983045 ATT983042:AUC983045 AJX983042:AKG983045 AAB983042:AAK983045 QF983042:QO983045 GJ983042:GS983045 WSV917506:WTE917509 WIZ917506:WJI917509 VZD917506:VZM917509 VPH917506:VPQ917509 VFL917506:VFU917509 UVP917506:UVY917509 ULT917506:UMC917509 UBX917506:UCG917509 TSB917506:TSK917509 TIF917506:TIO917509 SYJ917506:SYS917509 SON917506:SOW917509 SER917506:SFA917509 RUV917506:RVE917509 RKZ917506:RLI917509 RBD917506:RBM917509 QRH917506:QRQ917509 QHL917506:QHU917509 PXP917506:PXY917509 PNT917506:POC917509 PDX917506:PEG917509 OUB917506:OUK917509 OKF917506:OKO917509 OAJ917506:OAS917509 NQN917506:NQW917509 NGR917506:NHA917509 MWV917506:MXE917509 MMZ917506:MNI917509 MDD917506:MDM917509 LTH917506:LTQ917509 LJL917506:LJU917509 KZP917506:KZY917509 KPT917506:KQC917509 KFX917506:KGG917509 JWB917506:JWK917509 JMF917506:JMO917509 JCJ917506:JCS917509 ISN917506:ISW917509 IIR917506:IJA917509 HYV917506:HZE917509 HOZ917506:HPI917509 HFD917506:HFM917509 GVH917506:GVQ917509 GLL917506:GLU917509 GBP917506:GBY917509 FRT917506:FSC917509 FHX917506:FIG917509 EYB917506:EYK917509 EOF917506:EOO917509 EEJ917506:EES917509 DUN917506:DUW917509 DKR917506:DLA917509 DAV917506:DBE917509 CQZ917506:CRI917509 CHD917506:CHM917509 BXH917506:BXQ917509 BNL917506:BNU917509 BDP917506:BDY917509 ATT917506:AUC917509 AJX917506:AKG917509 AAB917506:AAK917509 QF917506:QO917509 GJ917506:GS917509 WSV851970:WTE851973 WIZ851970:WJI851973 VZD851970:VZM851973 VPH851970:VPQ851973 VFL851970:VFU851973 UVP851970:UVY851973 ULT851970:UMC851973 UBX851970:UCG851973 TSB851970:TSK851973 TIF851970:TIO851973 SYJ851970:SYS851973 SON851970:SOW851973 SER851970:SFA851973 RUV851970:RVE851973 RKZ851970:RLI851973 RBD851970:RBM851973 QRH851970:QRQ851973 QHL851970:QHU851973 PXP851970:PXY851973 PNT851970:POC851973 PDX851970:PEG851973 OUB851970:OUK851973 OKF851970:OKO851973 OAJ851970:OAS851973 NQN851970:NQW851973 NGR851970:NHA851973 MWV851970:MXE851973 MMZ851970:MNI851973 MDD851970:MDM851973 LTH851970:LTQ851973 LJL851970:LJU851973 KZP851970:KZY851973 KPT851970:KQC851973 KFX851970:KGG851973 JWB851970:JWK851973 JMF851970:JMO851973 JCJ851970:JCS851973 ISN851970:ISW851973 IIR851970:IJA851973 HYV851970:HZE851973 HOZ851970:HPI851973 HFD851970:HFM851973 GVH851970:GVQ851973 GLL851970:GLU851973 GBP851970:GBY851973 FRT851970:FSC851973 FHX851970:FIG851973 EYB851970:EYK851973 EOF851970:EOO851973 EEJ851970:EES851973 DUN851970:DUW851973 DKR851970:DLA851973 DAV851970:DBE851973 CQZ851970:CRI851973 CHD851970:CHM851973 BXH851970:BXQ851973 BNL851970:BNU851973 BDP851970:BDY851973 ATT851970:AUC851973 AJX851970:AKG851973 AAB851970:AAK851973 QF851970:QO851973 GJ851970:GS851973 WSV786434:WTE786437 WIZ786434:WJI786437 VZD786434:VZM786437 VPH786434:VPQ786437 VFL786434:VFU786437 UVP786434:UVY786437 ULT786434:UMC786437 UBX786434:UCG786437 TSB786434:TSK786437 TIF786434:TIO786437 SYJ786434:SYS786437 SON786434:SOW786437 SER786434:SFA786437 RUV786434:RVE786437 RKZ786434:RLI786437 RBD786434:RBM786437 QRH786434:QRQ786437 QHL786434:QHU786437 PXP786434:PXY786437 PNT786434:POC786437 PDX786434:PEG786437 OUB786434:OUK786437 OKF786434:OKO786437 OAJ786434:OAS786437 NQN786434:NQW786437 NGR786434:NHA786437 MWV786434:MXE786437 MMZ786434:MNI786437 MDD786434:MDM786437 LTH786434:LTQ786437 LJL786434:LJU786437 KZP786434:KZY786437 KPT786434:KQC786437 KFX786434:KGG786437 JWB786434:JWK786437 JMF786434:JMO786437 JCJ786434:JCS786437 ISN786434:ISW786437 IIR786434:IJA786437 HYV786434:HZE786437 HOZ786434:HPI786437 HFD786434:HFM786437 GVH786434:GVQ786437 GLL786434:GLU786437 GBP786434:GBY786437 FRT786434:FSC786437 FHX786434:FIG786437 EYB786434:EYK786437 EOF786434:EOO786437 EEJ786434:EES786437 DUN786434:DUW786437 DKR786434:DLA786437 DAV786434:DBE786437 CQZ786434:CRI786437 CHD786434:CHM786437 BXH786434:BXQ786437 BNL786434:BNU786437 BDP786434:BDY786437 ATT786434:AUC786437 AJX786434:AKG786437 AAB786434:AAK786437 QF786434:QO786437 GJ786434:GS786437 WSV720898:WTE720901 WIZ720898:WJI720901 VZD720898:VZM720901 VPH720898:VPQ720901 VFL720898:VFU720901 UVP720898:UVY720901 ULT720898:UMC720901 UBX720898:UCG720901 TSB720898:TSK720901 TIF720898:TIO720901 SYJ720898:SYS720901 SON720898:SOW720901 SER720898:SFA720901 RUV720898:RVE720901 RKZ720898:RLI720901 RBD720898:RBM720901 QRH720898:QRQ720901 QHL720898:QHU720901 PXP720898:PXY720901 PNT720898:POC720901 PDX720898:PEG720901 OUB720898:OUK720901 OKF720898:OKO720901 OAJ720898:OAS720901 NQN720898:NQW720901 NGR720898:NHA720901 MWV720898:MXE720901 MMZ720898:MNI720901 MDD720898:MDM720901 LTH720898:LTQ720901 LJL720898:LJU720901 KZP720898:KZY720901 KPT720898:KQC720901 KFX720898:KGG720901 JWB720898:JWK720901 JMF720898:JMO720901 JCJ720898:JCS720901 ISN720898:ISW720901 IIR720898:IJA720901 HYV720898:HZE720901 HOZ720898:HPI720901 HFD720898:HFM720901 GVH720898:GVQ720901 GLL720898:GLU720901 GBP720898:GBY720901 FRT720898:FSC720901 FHX720898:FIG720901 EYB720898:EYK720901 EOF720898:EOO720901 EEJ720898:EES720901 DUN720898:DUW720901 DKR720898:DLA720901 DAV720898:DBE720901 CQZ720898:CRI720901 CHD720898:CHM720901 BXH720898:BXQ720901 BNL720898:BNU720901 BDP720898:BDY720901 ATT720898:AUC720901 AJX720898:AKG720901 AAB720898:AAK720901 QF720898:QO720901 GJ720898:GS720901 WSV655362:WTE655365 WIZ655362:WJI655365 VZD655362:VZM655365 VPH655362:VPQ655365 VFL655362:VFU655365 UVP655362:UVY655365 ULT655362:UMC655365 UBX655362:UCG655365 TSB655362:TSK655365 TIF655362:TIO655365 SYJ655362:SYS655365 SON655362:SOW655365 SER655362:SFA655365 RUV655362:RVE655365 RKZ655362:RLI655365 RBD655362:RBM655365 QRH655362:QRQ655365 QHL655362:QHU655365 PXP655362:PXY655365 PNT655362:POC655365 PDX655362:PEG655365 OUB655362:OUK655365 OKF655362:OKO655365 OAJ655362:OAS655365 NQN655362:NQW655365 NGR655362:NHA655365 MWV655362:MXE655365 MMZ655362:MNI655365 MDD655362:MDM655365 LTH655362:LTQ655365 LJL655362:LJU655365 KZP655362:KZY655365 KPT655362:KQC655365 KFX655362:KGG655365 JWB655362:JWK655365 JMF655362:JMO655365 JCJ655362:JCS655365 ISN655362:ISW655365 IIR655362:IJA655365 HYV655362:HZE655365 HOZ655362:HPI655365 HFD655362:HFM655365 GVH655362:GVQ655365 GLL655362:GLU655365 GBP655362:GBY655365 FRT655362:FSC655365 FHX655362:FIG655365 EYB655362:EYK655365 EOF655362:EOO655365 EEJ655362:EES655365 DUN655362:DUW655365 DKR655362:DLA655365 DAV655362:DBE655365 CQZ655362:CRI655365 CHD655362:CHM655365 BXH655362:BXQ655365 BNL655362:BNU655365 BDP655362:BDY655365 ATT655362:AUC655365 AJX655362:AKG655365 AAB655362:AAK655365 QF655362:QO655365 GJ655362:GS655365 WSV589826:WTE589829 WIZ589826:WJI589829 VZD589826:VZM589829 VPH589826:VPQ589829 VFL589826:VFU589829 UVP589826:UVY589829 ULT589826:UMC589829 UBX589826:UCG589829 TSB589826:TSK589829 TIF589826:TIO589829 SYJ589826:SYS589829 SON589826:SOW589829 SER589826:SFA589829 RUV589826:RVE589829 RKZ589826:RLI589829 RBD589826:RBM589829 QRH589826:QRQ589829 QHL589826:QHU589829 PXP589826:PXY589829 PNT589826:POC589829 PDX589826:PEG589829 OUB589826:OUK589829 OKF589826:OKO589829 OAJ589826:OAS589829 NQN589826:NQW589829 NGR589826:NHA589829 MWV589826:MXE589829 MMZ589826:MNI589829 MDD589826:MDM589829 LTH589826:LTQ589829 LJL589826:LJU589829 KZP589826:KZY589829 KPT589826:KQC589829 KFX589826:KGG589829 JWB589826:JWK589829 JMF589826:JMO589829 JCJ589826:JCS589829 ISN589826:ISW589829 IIR589826:IJA589829 HYV589826:HZE589829 HOZ589826:HPI589829 HFD589826:HFM589829 GVH589826:GVQ589829 GLL589826:GLU589829 GBP589826:GBY589829 FRT589826:FSC589829 FHX589826:FIG589829 EYB589826:EYK589829 EOF589826:EOO589829 EEJ589826:EES589829 DUN589826:DUW589829 DKR589826:DLA589829 DAV589826:DBE589829 CQZ589826:CRI589829 CHD589826:CHM589829 BXH589826:BXQ589829 BNL589826:BNU589829 BDP589826:BDY589829 ATT589826:AUC589829 AJX589826:AKG589829 AAB589826:AAK589829 QF589826:QO589829 GJ589826:GS589829 WSV524290:WTE524293 WIZ524290:WJI524293 VZD524290:VZM524293 VPH524290:VPQ524293 VFL524290:VFU524293 UVP524290:UVY524293 ULT524290:UMC524293 UBX524290:UCG524293 TSB524290:TSK524293 TIF524290:TIO524293 SYJ524290:SYS524293 SON524290:SOW524293 SER524290:SFA524293 RUV524290:RVE524293 RKZ524290:RLI524293 RBD524290:RBM524293 QRH524290:QRQ524293 QHL524290:QHU524293 PXP524290:PXY524293 PNT524290:POC524293 PDX524290:PEG524293 OUB524290:OUK524293 OKF524290:OKO524293 OAJ524290:OAS524293 NQN524290:NQW524293 NGR524290:NHA524293 MWV524290:MXE524293 MMZ524290:MNI524293 MDD524290:MDM524293 LTH524290:LTQ524293 LJL524290:LJU524293 KZP524290:KZY524293 KPT524290:KQC524293 KFX524290:KGG524293 JWB524290:JWK524293 JMF524290:JMO524293 JCJ524290:JCS524293 ISN524290:ISW524293 IIR524290:IJA524293 HYV524290:HZE524293 HOZ524290:HPI524293 HFD524290:HFM524293 GVH524290:GVQ524293 GLL524290:GLU524293 GBP524290:GBY524293 FRT524290:FSC524293 FHX524290:FIG524293 EYB524290:EYK524293 EOF524290:EOO524293 EEJ524290:EES524293 DUN524290:DUW524293 DKR524290:DLA524293 DAV524290:DBE524293 CQZ524290:CRI524293 CHD524290:CHM524293 BXH524290:BXQ524293 BNL524290:BNU524293 BDP524290:BDY524293 ATT524290:AUC524293 AJX524290:AKG524293 AAB524290:AAK524293 QF524290:QO524293 GJ524290:GS524293 WSV458754:WTE458757 WIZ458754:WJI458757 VZD458754:VZM458757 VPH458754:VPQ458757 VFL458754:VFU458757 UVP458754:UVY458757 ULT458754:UMC458757 UBX458754:UCG458757 TSB458754:TSK458757 TIF458754:TIO458757 SYJ458754:SYS458757 SON458754:SOW458757 SER458754:SFA458757 RUV458754:RVE458757 RKZ458754:RLI458757 RBD458754:RBM458757 QRH458754:QRQ458757 QHL458754:QHU458757 PXP458754:PXY458757 PNT458754:POC458757 PDX458754:PEG458757 OUB458754:OUK458757 OKF458754:OKO458757 OAJ458754:OAS458757 NQN458754:NQW458757 NGR458754:NHA458757 MWV458754:MXE458757 MMZ458754:MNI458757 MDD458754:MDM458757 LTH458754:LTQ458757 LJL458754:LJU458757 KZP458754:KZY458757 KPT458754:KQC458757 KFX458754:KGG458757 JWB458754:JWK458757 JMF458754:JMO458757 JCJ458754:JCS458757 ISN458754:ISW458757 IIR458754:IJA458757 HYV458754:HZE458757 HOZ458754:HPI458757 HFD458754:HFM458757 GVH458754:GVQ458757 GLL458754:GLU458757 GBP458754:GBY458757 FRT458754:FSC458757 FHX458754:FIG458757 EYB458754:EYK458757 EOF458754:EOO458757 EEJ458754:EES458757 DUN458754:DUW458757 DKR458754:DLA458757 DAV458754:DBE458757 CQZ458754:CRI458757 CHD458754:CHM458757 BXH458754:BXQ458757 BNL458754:BNU458757 BDP458754:BDY458757 ATT458754:AUC458757 AJX458754:AKG458757 AAB458754:AAK458757 QF458754:QO458757 GJ458754:GS458757 WSV393218:WTE393221 WIZ393218:WJI393221 VZD393218:VZM393221 VPH393218:VPQ393221 VFL393218:VFU393221 UVP393218:UVY393221 ULT393218:UMC393221 UBX393218:UCG393221 TSB393218:TSK393221 TIF393218:TIO393221 SYJ393218:SYS393221 SON393218:SOW393221 SER393218:SFA393221 RUV393218:RVE393221 RKZ393218:RLI393221 RBD393218:RBM393221 QRH393218:QRQ393221 QHL393218:QHU393221 PXP393218:PXY393221 PNT393218:POC393221 PDX393218:PEG393221 OUB393218:OUK393221 OKF393218:OKO393221 OAJ393218:OAS393221 NQN393218:NQW393221 NGR393218:NHA393221 MWV393218:MXE393221 MMZ393218:MNI393221 MDD393218:MDM393221 LTH393218:LTQ393221 LJL393218:LJU393221 KZP393218:KZY393221 KPT393218:KQC393221 KFX393218:KGG393221 JWB393218:JWK393221 JMF393218:JMO393221 JCJ393218:JCS393221 ISN393218:ISW393221 IIR393218:IJA393221 HYV393218:HZE393221 HOZ393218:HPI393221 HFD393218:HFM393221 GVH393218:GVQ393221 GLL393218:GLU393221 GBP393218:GBY393221 FRT393218:FSC393221 FHX393218:FIG393221 EYB393218:EYK393221 EOF393218:EOO393221 EEJ393218:EES393221 DUN393218:DUW393221 DKR393218:DLA393221 DAV393218:DBE393221 CQZ393218:CRI393221 CHD393218:CHM393221 BXH393218:BXQ393221 BNL393218:BNU393221 BDP393218:BDY393221 ATT393218:AUC393221 AJX393218:AKG393221 AAB393218:AAK393221 QF393218:QO393221 GJ393218:GS393221 WSV327682:WTE327685 WIZ327682:WJI327685 VZD327682:VZM327685 VPH327682:VPQ327685 VFL327682:VFU327685 UVP327682:UVY327685 ULT327682:UMC327685 UBX327682:UCG327685 TSB327682:TSK327685 TIF327682:TIO327685 SYJ327682:SYS327685 SON327682:SOW327685 SER327682:SFA327685 RUV327682:RVE327685 RKZ327682:RLI327685 RBD327682:RBM327685 QRH327682:QRQ327685 QHL327682:QHU327685 PXP327682:PXY327685 PNT327682:POC327685 PDX327682:PEG327685 OUB327682:OUK327685 OKF327682:OKO327685 OAJ327682:OAS327685 NQN327682:NQW327685 NGR327682:NHA327685 MWV327682:MXE327685 MMZ327682:MNI327685 MDD327682:MDM327685 LTH327682:LTQ327685 LJL327682:LJU327685 KZP327682:KZY327685 KPT327682:KQC327685 KFX327682:KGG327685 JWB327682:JWK327685 JMF327682:JMO327685 JCJ327682:JCS327685 ISN327682:ISW327685 IIR327682:IJA327685 HYV327682:HZE327685 HOZ327682:HPI327685 HFD327682:HFM327685 GVH327682:GVQ327685 GLL327682:GLU327685 GBP327682:GBY327685 FRT327682:FSC327685 FHX327682:FIG327685 EYB327682:EYK327685 EOF327682:EOO327685 EEJ327682:EES327685 DUN327682:DUW327685 DKR327682:DLA327685 DAV327682:DBE327685 CQZ327682:CRI327685 CHD327682:CHM327685 BXH327682:BXQ327685 BNL327682:BNU327685 BDP327682:BDY327685 ATT327682:AUC327685 AJX327682:AKG327685 AAB327682:AAK327685 QF327682:QO327685 GJ327682:GS327685 WSV262146:WTE262149 WIZ262146:WJI262149 VZD262146:VZM262149 VPH262146:VPQ262149 VFL262146:VFU262149 UVP262146:UVY262149 ULT262146:UMC262149 UBX262146:UCG262149 TSB262146:TSK262149 TIF262146:TIO262149 SYJ262146:SYS262149 SON262146:SOW262149 SER262146:SFA262149 RUV262146:RVE262149 RKZ262146:RLI262149 RBD262146:RBM262149 QRH262146:QRQ262149 QHL262146:QHU262149 PXP262146:PXY262149 PNT262146:POC262149 PDX262146:PEG262149 OUB262146:OUK262149 OKF262146:OKO262149 OAJ262146:OAS262149 NQN262146:NQW262149 NGR262146:NHA262149 MWV262146:MXE262149 MMZ262146:MNI262149 MDD262146:MDM262149 LTH262146:LTQ262149 LJL262146:LJU262149 KZP262146:KZY262149 KPT262146:KQC262149 KFX262146:KGG262149 JWB262146:JWK262149 JMF262146:JMO262149 JCJ262146:JCS262149 ISN262146:ISW262149 IIR262146:IJA262149 HYV262146:HZE262149 HOZ262146:HPI262149 HFD262146:HFM262149 GVH262146:GVQ262149 GLL262146:GLU262149 GBP262146:GBY262149 FRT262146:FSC262149 FHX262146:FIG262149 EYB262146:EYK262149 EOF262146:EOO262149 EEJ262146:EES262149 DUN262146:DUW262149 DKR262146:DLA262149 DAV262146:DBE262149 CQZ262146:CRI262149 CHD262146:CHM262149 BXH262146:BXQ262149 BNL262146:BNU262149 BDP262146:BDY262149 ATT262146:AUC262149 AJX262146:AKG262149 AAB262146:AAK262149 QF262146:QO262149 GJ262146:GS262149 WSV196610:WTE196613 WIZ196610:WJI196613 VZD196610:VZM196613 VPH196610:VPQ196613 VFL196610:VFU196613 UVP196610:UVY196613 ULT196610:UMC196613 UBX196610:UCG196613 TSB196610:TSK196613 TIF196610:TIO196613 SYJ196610:SYS196613 SON196610:SOW196613 SER196610:SFA196613 RUV196610:RVE196613 RKZ196610:RLI196613 RBD196610:RBM196613 QRH196610:QRQ196613 QHL196610:QHU196613 PXP196610:PXY196613 PNT196610:POC196613 PDX196610:PEG196613 OUB196610:OUK196613 OKF196610:OKO196613 OAJ196610:OAS196613 NQN196610:NQW196613 NGR196610:NHA196613 MWV196610:MXE196613 MMZ196610:MNI196613 MDD196610:MDM196613 LTH196610:LTQ196613 LJL196610:LJU196613 KZP196610:KZY196613 KPT196610:KQC196613 KFX196610:KGG196613 JWB196610:JWK196613 JMF196610:JMO196613 JCJ196610:JCS196613 ISN196610:ISW196613 IIR196610:IJA196613 HYV196610:HZE196613 HOZ196610:HPI196613 HFD196610:HFM196613 GVH196610:GVQ196613 GLL196610:GLU196613 GBP196610:GBY196613 FRT196610:FSC196613 FHX196610:FIG196613 EYB196610:EYK196613 EOF196610:EOO196613 EEJ196610:EES196613 DUN196610:DUW196613 DKR196610:DLA196613 DAV196610:DBE196613 CQZ196610:CRI196613 CHD196610:CHM196613 BXH196610:BXQ196613 BNL196610:BNU196613 BDP196610:BDY196613 ATT196610:AUC196613 AJX196610:AKG196613 AAB196610:AAK196613 QF196610:QO196613 GJ196610:GS196613 WSV131074:WTE131077 WIZ131074:WJI131077 VZD131074:VZM131077 VPH131074:VPQ131077 VFL131074:VFU131077 UVP131074:UVY131077 ULT131074:UMC131077 UBX131074:UCG131077 TSB131074:TSK131077 TIF131074:TIO131077 SYJ131074:SYS131077 SON131074:SOW131077 SER131074:SFA131077 RUV131074:RVE131077 RKZ131074:RLI131077 RBD131074:RBM131077 QRH131074:QRQ131077 QHL131074:QHU131077 PXP131074:PXY131077 PNT131074:POC131077 PDX131074:PEG131077 OUB131074:OUK131077 OKF131074:OKO131077 OAJ131074:OAS131077 NQN131074:NQW131077 NGR131074:NHA131077 MWV131074:MXE131077 MMZ131074:MNI131077 MDD131074:MDM131077 LTH131074:LTQ131077 LJL131074:LJU131077 KZP131074:KZY131077 KPT131074:KQC131077 KFX131074:KGG131077 JWB131074:JWK131077 JMF131074:JMO131077 JCJ131074:JCS131077 ISN131074:ISW131077 IIR131074:IJA131077 HYV131074:HZE131077 HOZ131074:HPI131077 HFD131074:HFM131077 GVH131074:GVQ131077 GLL131074:GLU131077 GBP131074:GBY131077 FRT131074:FSC131077 FHX131074:FIG131077 EYB131074:EYK131077 EOF131074:EOO131077 EEJ131074:EES131077 DUN131074:DUW131077 DKR131074:DLA131077 DAV131074:DBE131077 CQZ131074:CRI131077 CHD131074:CHM131077 BXH131074:BXQ131077 BNL131074:BNU131077 BDP131074:BDY131077 ATT131074:AUC131077 AJX131074:AKG131077 AAB131074:AAK131077 QF131074:QO131077 GJ131074:GS131077 WSV65538:WTE65541 WIZ65538:WJI65541 VZD65538:VZM65541 VPH65538:VPQ65541 VFL65538:VFU65541 UVP65538:UVY65541 ULT65538:UMC65541 UBX65538:UCG65541 TSB65538:TSK65541 TIF65538:TIO65541 SYJ65538:SYS65541 SON65538:SOW65541 SER65538:SFA65541 RUV65538:RVE65541 RKZ65538:RLI65541 RBD65538:RBM65541 QRH65538:QRQ65541 QHL65538:QHU65541 PXP65538:PXY65541 PNT65538:POC65541 PDX65538:PEG65541 OUB65538:OUK65541 OKF65538:OKO65541 OAJ65538:OAS65541 NQN65538:NQW65541 NGR65538:NHA65541 MWV65538:MXE65541 MMZ65538:MNI65541 MDD65538:MDM65541 LTH65538:LTQ65541 LJL65538:LJU65541 KZP65538:KZY65541 KPT65538:KQC65541 KFX65538:KGG65541 JWB65538:JWK65541 JMF65538:JMO65541 JCJ65538:JCS65541 ISN65538:ISW65541 IIR65538:IJA65541 HYV65538:HZE65541 HOZ65538:HPI65541 HFD65538:HFM65541 GVH65538:GVQ65541 GLL65538:GLU65541 GBP65538:GBY65541 FRT65538:FSC65541 FHX65538:FIG65541 EYB65538:EYK65541 EOF65538:EOO65541 EEJ65538:EES65541 DUN65538:DUW65541 DKR65538:DLA65541 DAV65538:DBE65541 CQZ65538:CRI65541 CHD65538:CHM65541 BXH65538:BXQ65541 BNL65538:BNU65541 BDP65538:BDY65541 ATT65538:AUC65541 AJX65538:AKG65541 AAB65538:AAK65541 QF65538:QO65541 GJ65538:GS65541 O983042:W983045 O917506:W917509 O851970:W851973 O786434:W786437 O720898:W720901 O655362:W655365 O589826:W589829 O524290:W524293 O458754:W458757 O393218:W393221 O327682:W327685 O262146:W262149 O196610:W196613 O131074:W131077 O65538:W65541">
      <formula1>-100000000</formula1>
      <formula2>100000000</formula2>
    </dataValidation>
    <dataValidation type="list" allowBlank="1" showInputMessage="1" showErrorMessage="1" sqref="G12:G40 H3:H40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2013-04-06T19:45:37Z</dcterms:modified>
</cp:coreProperties>
</file>