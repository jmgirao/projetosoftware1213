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39" i="2" l="1"/>
  <c r="U47" i="2" l="1"/>
  <c r="U38" i="2"/>
  <c r="U21" i="2" l="1"/>
  <c r="U7" i="2" l="1"/>
  <c r="U33" i="2"/>
  <c r="U50" i="2"/>
  <c r="U26" i="2"/>
  <c r="U16" i="2"/>
  <c r="V15" i="2"/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N33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W44" i="2" s="1"/>
  <c r="N44" i="2" s="1"/>
  <c r="S56" i="2"/>
  <c r="R3" i="2"/>
  <c r="W62" i="2"/>
  <c r="U13" i="2"/>
  <c r="V13" i="2" s="1"/>
  <c r="W15" i="2"/>
  <c r="W16" i="2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O65" i="2"/>
  <c r="P60" i="2"/>
  <c r="P66" i="2"/>
  <c r="V54" i="2"/>
  <c r="W54" i="2" s="1"/>
  <c r="U12" i="2"/>
  <c r="L46" i="2" a="1"/>
  <c r="L46" i="2" s="1"/>
  <c r="T56" i="2"/>
  <c r="Q32" i="2"/>
  <c r="R32" i="2" s="1"/>
  <c r="S32" i="2" s="1"/>
  <c r="W32" i="2" s="1"/>
  <c r="Q15" i="2"/>
  <c r="Q38" i="2"/>
  <c r="R38" i="2" s="1"/>
  <c r="S38" i="2" s="1"/>
  <c r="T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W39" i="2" l="1"/>
  <c r="N54" i="2"/>
  <c r="N36" i="2"/>
  <c r="N38" i="2"/>
  <c r="N37" i="2"/>
  <c r="M54" i="2"/>
  <c r="N35" i="2"/>
  <c r="L54" i="2" a="1"/>
  <c r="L54" i="2" s="1"/>
  <c r="V12" i="2"/>
  <c r="L38" i="2" a="1"/>
  <c r="L38" i="2" s="1"/>
  <c r="U56" i="2"/>
  <c r="S41" i="2"/>
  <c r="T41" i="2" s="1"/>
  <c r="U41" i="2" s="1"/>
  <c r="V41" i="2" s="1"/>
  <c r="U14" i="2"/>
  <c r="U3" i="2"/>
  <c r="N39" i="2" l="1"/>
  <c r="N41" i="2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U66" i="2" s="1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M40" i="2" l="1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M15" i="2" l="1"/>
  <c r="L33" i="2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R64" i="2" a="1"/>
  <c r="R64" i="2" s="1"/>
  <c r="S62" i="2"/>
  <c r="S63" i="2" s="1"/>
  <c r="T69" i="2"/>
  <c r="U2" i="2"/>
  <c r="M50" i="2" l="1"/>
  <c r="M24" i="2"/>
  <c r="M22" i="2"/>
  <c r="M21" i="2"/>
  <c r="M23" i="2"/>
  <c r="M47" i="2"/>
  <c r="M44" i="2"/>
  <c r="M38" i="2"/>
  <c r="M39" i="2"/>
  <c r="M18" i="2"/>
  <c r="M7" i="2"/>
  <c r="M17" i="2"/>
  <c r="M26" i="2"/>
  <c r="M28" i="2"/>
  <c r="M30" i="2"/>
  <c r="L27" i="2" a="1"/>
  <c r="L27" i="2" s="1"/>
  <c r="M27" i="2"/>
  <c r="M29" i="2"/>
  <c r="L26" i="2" a="1"/>
  <c r="L26" i="2" s="1"/>
  <c r="M16" i="2"/>
  <c r="M32" i="2"/>
  <c r="M25" i="2"/>
  <c r="L30" i="2" a="1"/>
  <c r="L30" i="2" s="1"/>
  <c r="M33" i="2"/>
  <c r="M34" i="2"/>
  <c r="L50" i="2" a="1"/>
  <c r="L50" i="2" s="1"/>
  <c r="M37" i="2"/>
  <c r="L40" i="2" a="1"/>
  <c r="L40" i="2" s="1"/>
  <c r="L41" i="2" a="1"/>
  <c r="L41" i="2" s="1"/>
  <c r="S64" i="2" a="1"/>
  <c r="S64" i="2" s="1"/>
  <c r="T62" i="2"/>
  <c r="T63" i="2" s="1"/>
  <c r="V2" i="2"/>
  <c r="U65" i="2" s="1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<sst xmlns="http://schemas.openxmlformats.org/spreadsheetml/2006/main" count="303" uniqueCount="132">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</sst>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5" fillId="2" borderId="1" xfId="1" quotePrefix="1" applyFont="1" applyFill="1" applyBorder="1" applyAlignment="1" applyProtection="1">
      <alignment horizontal="center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ont>
        <color theme="0"/>
      </font>
      <fill>
        <patternFill>
          <bgColor theme="7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14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218.75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176.25</c:v>
                </c:pt>
                <c:pt idx="7">
                  <c:v>253.75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  <c:pt idx="7">
                  <c:v>222.8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497408"/>
        <c:axId val="263497968"/>
      </c:lineChart>
      <c:catAx>
        <c:axId val="263497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63497968"/>
        <c:crosses val="autoZero"/>
        <c:auto val="0"/>
        <c:lblAlgn val="ctr"/>
        <c:lblOffset val="100"/>
        <c:noMultiLvlLbl val="0"/>
      </c:catAx>
      <c:valAx>
        <c:axId val="2634979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3497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39" activePane="bottomRight" state="frozen"/>
      <selection pane="topRight" activeCell="F1" sqref="F1"/>
      <selection pane="bottomLeft" activeCell="A3" sqref="A3"/>
      <selection pane="bottomRight" activeCell="U64" sqref="U64:U66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48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0.5+2+1.25</f>
        <v>3.75</v>
      </c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U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90">
        <v>0</v>
      </c>
      <c r="U17" s="51">
        <v>0.5</v>
      </c>
      <c r="V17" s="51" t="s">
        <v>112</v>
      </c>
      <c r="W17" s="51" t="s">
        <v>113</v>
      </c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41421</v>
      </c>
      <c r="N18" s="56">
        <f t="shared" si="3"/>
        <v>1.5</v>
      </c>
      <c r="O18" s="51"/>
      <c r="P18" s="51"/>
      <c r="Q18" s="51"/>
      <c r="R18" s="51"/>
      <c r="S18" s="51">
        <v>0.75</v>
      </c>
      <c r="T18" s="51">
        <v>0.25</v>
      </c>
      <c r="U18" s="51">
        <v>0.5</v>
      </c>
      <c r="V18" s="51" t="s">
        <v>112</v>
      </c>
      <c r="W18" s="51" t="s">
        <v>113</v>
      </c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>
        <f t="shared" si="1"/>
        <v>41421</v>
      </c>
      <c r="N21" s="56">
        <f t="shared" si="3"/>
        <v>3.5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0.5+1+0.25</f>
        <v>1.75</v>
      </c>
      <c r="V21" s="51" t="s">
        <v>112</v>
      </c>
      <c r="W21" s="51" t="s">
        <v>113</v>
      </c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>
        <f t="shared" si="1"/>
        <v>41421</v>
      </c>
      <c r="N22" s="56">
        <f t="shared" si="3"/>
        <v>11.75</v>
      </c>
      <c r="O22" s="51"/>
      <c r="P22" s="51"/>
      <c r="Q22" s="51"/>
      <c r="R22" s="51"/>
      <c r="S22" s="51">
        <v>2</v>
      </c>
      <c r="T22" s="51">
        <v>4</v>
      </c>
      <c r="U22" s="51">
        <v>5.75</v>
      </c>
      <c r="V22" s="51" t="s">
        <v>112</v>
      </c>
      <c r="W22" s="51" t="s">
        <v>113</v>
      </c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>
        <f t="shared" si="1"/>
        <v>41421</v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 t="s">
        <v>112</v>
      </c>
      <c r="W23" s="51" t="s">
        <v>113</v>
      </c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>
        <f t="shared" si="1"/>
        <v>41421</v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 t="s">
        <v>113</v>
      </c>
      <c r="W24" s="51" t="s">
        <v>113</v>
      </c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 t="s">
        <v>113</v>
      </c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 t="s">
        <v>113</v>
      </c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>
        <f t="shared" si="1"/>
        <v>41421</v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 t="s">
        <v>113</v>
      </c>
      <c r="W28" s="51" t="s">
        <v>113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>
        <f t="shared" si="1"/>
        <v>41421</v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 t="s">
        <v>113</v>
      </c>
      <c r="W29" s="51" t="s">
        <v>113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>
        <f t="shared" si="1"/>
        <v>41421</v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 t="s">
        <v>113</v>
      </c>
      <c r="W30" s="51" t="s">
        <v>113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4.5</v>
      </c>
      <c r="O33" s="51"/>
      <c r="P33" s="51"/>
      <c r="Q33" s="51"/>
      <c r="R33" s="51"/>
      <c r="S33" s="51"/>
      <c r="T33" s="51">
        <v>1.5</v>
      </c>
      <c r="U33" s="51">
        <f>0.75 + 1+0.5+0.75</f>
        <v>3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41421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>
        <f t="shared" si="13"/>
        <v>41421</v>
      </c>
      <c r="N38" s="56">
        <f t="shared" si="18"/>
        <v>3.15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1.15+0.5+1+0.5</f>
        <v>3.15</v>
      </c>
      <c r="V38" s="51" t="s">
        <v>113</v>
      </c>
      <c r="W38" s="51" t="str">
        <f t="shared" si="16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>
        <f t="shared" si="13"/>
        <v>41421</v>
      </c>
      <c r="N39" s="56">
        <f t="shared" si="14"/>
        <v>3.25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0.75+1+0.5+0.5+0.5</f>
        <v>3.25</v>
      </c>
      <c r="V39" s="51" t="s">
        <v>112</v>
      </c>
      <c r="W39" s="51" t="str">
        <f t="shared" si="16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 t="s">
        <v>112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 t="s">
        <v>113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 t="s">
        <v>112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>
        <f t="shared" si="13"/>
        <v>41421</v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">
        <v>112</v>
      </c>
      <c r="W44" s="51" t="str">
        <f t="shared" si="27"/>
        <v>X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41421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>
        <f t="shared" si="13"/>
        <v>41421</v>
      </c>
      <c r="N47" s="56">
        <f t="shared" si="14"/>
        <v>2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0.25+0.25+0.5+0.5+0.5</f>
        <v>2</v>
      </c>
      <c r="V47" s="51" t="s">
        <v>112</v>
      </c>
      <c r="W47" s="51" t="str">
        <f t="shared" si="27"/>
        <v>X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>
        <v>1</v>
      </c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>
        <v>1</v>
      </c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41421</v>
      </c>
      <c r="I50" s="43">
        <v>47</v>
      </c>
      <c r="J50" s="43">
        <v>1</v>
      </c>
      <c r="K50" s="3">
        <v>1</v>
      </c>
      <c r="L50" s="55">
        <f t="array" ref="L50">IF(ISNA(INDEX($O$2:$DA$2,1,MATCH(1,IF($O50:$DM50,1),0))),"",INDEX($O$2:$DA$2,1,MATCH(1,IF($O50:$DM50,1),0)))</f>
        <v>41421</v>
      </c>
      <c r="M50" s="55">
        <f t="shared" si="29"/>
        <v>41421</v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">
        <v>112</v>
      </c>
      <c r="W50" s="51" t="str">
        <f t="shared" si="27"/>
        <v>X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31.549999999999997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2" t="s">
        <v>60</v>
      </c>
      <c r="J61" s="103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9" t="s">
        <v>0</v>
      </c>
      <c r="D63" s="100"/>
      <c r="E63" s="100"/>
      <c r="F63" s="100"/>
      <c r="G63" s="100"/>
      <c r="H63" s="100"/>
      <c r="I63" s="101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218.75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>SUMIFS($K$3:$K$51,T3:T51,"=X")</f>
        <v>150.75</v>
      </c>
      <c r="T65" s="6">
        <f>SUMIFS($K$3:$K$51,U3:U51,"=X")</f>
        <v>176.25</v>
      </c>
      <c r="U65" s="6">
        <f>SUMIFS($K$2:$K$51,V2:V51,"=X")</f>
        <v>253.75</v>
      </c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8">SUM(S3:S51)+R66</f>
        <v>150.19999999999999</v>
      </c>
      <c r="T66" s="6">
        <f>SUM(T3:T51)+S66</f>
        <v>191.25</v>
      </c>
      <c r="U66" s="6">
        <f>SUM(U3:U51)+T66</f>
        <v>222.8</v>
      </c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1" t="s">
        <v>19</v>
      </c>
      <c r="N68" s="92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9">O2</f>
        <v>41372</v>
      </c>
      <c r="P69" s="39">
        <f t="shared" si="59"/>
        <v>41379</v>
      </c>
      <c r="Q69" s="39">
        <f t="shared" si="59"/>
        <v>41386</v>
      </c>
      <c r="R69" s="39">
        <f t="shared" si="59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222.8</v>
      </c>
      <c r="O70" s="37">
        <f t="shared" ref="O70:W71" si="60">SUMIF($F$3:$F$41,$M70,O$3:O$41)</f>
        <v>0</v>
      </c>
      <c r="P70" s="37">
        <f t="shared" si="60"/>
        <v>0</v>
      </c>
      <c r="Q70" s="37">
        <f t="shared" si="60"/>
        <v>0</v>
      </c>
      <c r="R70" s="37">
        <f t="shared" si="60"/>
        <v>0</v>
      </c>
      <c r="S70" s="37">
        <f t="shared" si="60"/>
        <v>0</v>
      </c>
      <c r="T70" s="37">
        <f t="shared" si="60"/>
        <v>0</v>
      </c>
      <c r="U70" s="37">
        <f t="shared" si="60"/>
        <v>0</v>
      </c>
      <c r="V70" s="37">
        <f t="shared" si="60"/>
        <v>0</v>
      </c>
      <c r="W70" s="37">
        <f t="shared" si="60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0"/>
        <v>0</v>
      </c>
      <c r="P71" s="37">
        <f t="shared" si="60"/>
        <v>0</v>
      </c>
      <c r="Q71" s="37">
        <f t="shared" si="60"/>
        <v>0</v>
      </c>
      <c r="R71" s="37">
        <f t="shared" si="60"/>
        <v>0</v>
      </c>
      <c r="S71" s="37">
        <f t="shared" si="60"/>
        <v>0</v>
      </c>
      <c r="T71" s="37">
        <f t="shared" si="60"/>
        <v>0</v>
      </c>
      <c r="U71" s="37">
        <f t="shared" si="60"/>
        <v>0</v>
      </c>
      <c r="V71" s="37">
        <f t="shared" si="60"/>
        <v>0</v>
      </c>
      <c r="W71" s="37">
        <f t="shared" si="60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842</v>
      </c>
      <c r="O76" s="37">
        <f t="shared" ref="O76:V77" si="61">SUMIF($F$3:$F$41,$M76,O$3:O$41)</f>
        <v>0</v>
      </c>
      <c r="P76" s="37">
        <f t="shared" si="61"/>
        <v>0</v>
      </c>
      <c r="Q76" s="37">
        <f t="shared" si="61"/>
        <v>0</v>
      </c>
      <c r="R76" s="37">
        <f t="shared" si="61"/>
        <v>0</v>
      </c>
      <c r="S76" s="37">
        <f t="shared" si="61"/>
        <v>0</v>
      </c>
      <c r="T76" s="37">
        <f t="shared" si="61"/>
        <v>0</v>
      </c>
      <c r="U76" s="37">
        <f t="shared" si="61"/>
        <v>0</v>
      </c>
      <c r="V76" s="37">
        <f t="shared" si="61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1"/>
        <v>0</v>
      </c>
      <c r="P77" s="37">
        <f t="shared" si="61"/>
        <v>0</v>
      </c>
      <c r="Q77" s="37">
        <f t="shared" si="61"/>
        <v>0</v>
      </c>
      <c r="R77" s="37">
        <f t="shared" si="61"/>
        <v>0</v>
      </c>
      <c r="S77" s="37">
        <f t="shared" si="61"/>
        <v>0</v>
      </c>
      <c r="T77" s="37">
        <f t="shared" si="61"/>
        <v>0</v>
      </c>
      <c r="U77" s="37">
        <f t="shared" si="61"/>
        <v>0</v>
      </c>
      <c r="V77" s="37">
        <f t="shared" si="61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1064.8</v>
      </c>
      <c r="O78" s="48">
        <f t="shared" ref="O78:R78" si="62">SUM(O70:O77)</f>
        <v>0</v>
      </c>
      <c r="P78" s="48">
        <f t="shared" si="62"/>
        <v>0</v>
      </c>
      <c r="Q78" s="48">
        <f t="shared" si="62"/>
        <v>0</v>
      </c>
      <c r="R78" s="48">
        <f t="shared" si="62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0" priority="51" operator="greaterThan">
      <formula>0</formula>
    </cfRule>
  </conditionalFormatting>
  <conditionalFormatting sqref="O66:W66">
    <cfRule type="cellIs" dxfId="23" priority="50" operator="greaterThan">
      <formula>0</formula>
    </cfRule>
  </conditionalFormatting>
  <conditionalFormatting sqref="G56:H59 G51:H52 G49:H49 G3:H47">
    <cfRule type="expression" dxfId="22" priority="40">
      <formula>FormulaInCell</formula>
    </cfRule>
  </conditionalFormatting>
  <conditionalFormatting sqref="O3:W59">
    <cfRule type="cellIs" dxfId="21" priority="47" operator="equal">
      <formula>"X"</formula>
    </cfRule>
    <cfRule type="cellIs" dxfId="20" priority="48" operator="greaterThan">
      <formula>0</formula>
    </cfRule>
    <cfRule type="expression" dxfId="19" priority="49">
      <formula>AND(O$2&gt;=$G3,O$2&lt;$H3,ISNUMBER(O3))</formula>
    </cfRule>
    <cfRule type="expression" dxfId="18" priority="52">
      <formula>AND(O$2&gt;=$G3,O$2&lt;$H3)</formula>
    </cfRule>
    <cfRule type="expression" dxfId="17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6" priority="31" operator="lessThan">
      <formula>$K$61</formula>
    </cfRule>
    <cfRule type="cellIs" dxfId="15" priority="32" operator="greaterThan">
      <formula>$K$61</formula>
    </cfRule>
  </conditionalFormatting>
  <conditionalFormatting sqref="O63:W63">
    <cfRule type="expression" dxfId="14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3" priority="23" operator="greaterThan">
      <formula>#REF!</formula>
    </cfRule>
    <cfRule type="cellIs" dxfId="12" priority="24" operator="lessThan">
      <formula>#REF!</formula>
    </cfRule>
  </conditionalFormatting>
  <conditionalFormatting sqref="L53:M55">
    <cfRule type="cellIs" dxfId="11" priority="25" operator="greaterThan">
      <formula>G53</formula>
    </cfRule>
    <cfRule type="cellIs" dxfId="10" priority="26" operator="lessThan">
      <formula>G53</formula>
    </cfRule>
  </conditionalFormatting>
  <conditionalFormatting sqref="G48:H48 G53:H55">
    <cfRule type="expression" dxfId="9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8" priority="9" operator="greaterThan">
      <formula>#REF!</formula>
    </cfRule>
    <cfRule type="cellIs" dxfId="7" priority="10" operator="lessThan">
      <formula>#REF!</formula>
    </cfRule>
  </conditionalFormatting>
  <conditionalFormatting sqref="O69:W69 O2:W2 N62:W62">
    <cfRule type="expression" dxfId="6" priority="223">
      <formula>N2&gt;MAX($H$3:$H$41)</formula>
    </cfRule>
  </conditionalFormatting>
  <conditionalFormatting sqref="L48:M49">
    <cfRule type="cellIs" dxfId="5" priority="244" operator="greaterThan">
      <formula>#REF!</formula>
    </cfRule>
    <cfRule type="cellIs" dxfId="4" priority="245" operator="lessThan">
      <formula>#REF!</formula>
    </cfRule>
  </conditionalFormatting>
  <conditionalFormatting sqref="L50:M52">
    <cfRule type="cellIs" dxfId="3" priority="246" operator="greaterThan">
      <formula>G49</formula>
    </cfRule>
    <cfRule type="cellIs" dxfId="2" priority="247" operator="lessThan">
      <formula>G49</formula>
    </cfRule>
  </conditionalFormatting>
  <conditionalFormatting sqref="G50:H50">
    <cfRule type="expression" dxfId="1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N22" sqref="N22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2013-06-02T23:12:21Z</dcterms:modified>
</cp:coreProperties>
</file>