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41" i="2"/>
  <c r="Q40"/>
  <c r="P39"/>
  <c r="O38"/>
  <c r="R8"/>
  <c r="Q8" l="1"/>
  <c r="P40" l="1"/>
  <c r="S40" s="1"/>
  <c r="T40" s="1"/>
  <c r="U40" s="1"/>
  <c r="V40" s="1"/>
  <c r="W40" s="1"/>
  <c r="P41"/>
  <c r="Q41" s="1"/>
  <c r="S41" s="1"/>
  <c r="T41" s="1"/>
  <c r="U41" s="1"/>
  <c r="V41" s="1"/>
  <c r="W41" s="1"/>
  <c r="P42"/>
  <c r="P43"/>
  <c r="Q43" s="1"/>
  <c r="P44"/>
  <c r="Q44" s="1"/>
  <c r="R44" s="1"/>
  <c r="S44" s="1"/>
  <c r="T44" s="1"/>
  <c r="U44" s="1"/>
  <c r="V44" s="1"/>
  <c r="W44" s="1"/>
  <c r="P45"/>
  <c r="Q45" s="1"/>
  <c r="R45" s="1"/>
  <c r="S45" s="1"/>
  <c r="T45" s="1"/>
  <c r="U45" s="1"/>
  <c r="V45" s="1"/>
  <c r="W45" s="1"/>
  <c r="P46"/>
  <c r="P47"/>
  <c r="Q47" s="1"/>
  <c r="P48"/>
  <c r="Q48" s="1"/>
  <c r="R48" s="1"/>
  <c r="S48" s="1"/>
  <c r="T48" s="1"/>
  <c r="U48" s="1"/>
  <c r="V48" s="1"/>
  <c r="W48" s="1"/>
  <c r="P49"/>
  <c r="Q49" l="1"/>
  <c r="R49" s="1"/>
  <c r="S49" s="1"/>
  <c r="T49" s="1"/>
  <c r="U49" s="1"/>
  <c r="V49" s="1"/>
  <c r="W49" s="1"/>
  <c r="L41" a="1"/>
  <c r="L41" s="1"/>
  <c r="L45" a="1"/>
  <c r="L45" s="1"/>
  <c r="M49"/>
  <c r="M45"/>
  <c r="M41"/>
  <c r="L48" a="1"/>
  <c r="L48" s="1"/>
  <c r="R47"/>
  <c r="S47" s="1"/>
  <c r="T47" s="1"/>
  <c r="U47" s="1"/>
  <c r="V47" s="1"/>
  <c r="W47" s="1"/>
  <c r="N47"/>
  <c r="R43"/>
  <c r="S43" s="1"/>
  <c r="T43" s="1"/>
  <c r="U43" s="1"/>
  <c r="V43" s="1"/>
  <c r="W43" s="1"/>
  <c r="L44" a="1"/>
  <c r="L44" s="1"/>
  <c r="N48"/>
  <c r="N44"/>
  <c r="N40"/>
  <c r="M48"/>
  <c r="M44"/>
  <c r="M40"/>
  <c r="N49"/>
  <c r="Q46"/>
  <c r="N45"/>
  <c r="Q42"/>
  <c r="N41"/>
  <c r="O61"/>
  <c r="M6"/>
  <c r="M7"/>
  <c r="M8"/>
  <c r="M9"/>
  <c r="M10"/>
  <c r="M11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L49" l="1" a="1"/>
  <c r="L49" s="1"/>
  <c r="L47" a="1"/>
  <c r="L47" s="1"/>
  <c r="N43"/>
  <c r="R42"/>
  <c r="S42" s="1"/>
  <c r="T42" s="1"/>
  <c r="U42" s="1"/>
  <c r="V42" s="1"/>
  <c r="W42" s="1"/>
  <c r="R46"/>
  <c r="M47"/>
  <c r="M42"/>
  <c r="N42"/>
  <c r="L43" a="1"/>
  <c r="L43" s="1"/>
  <c r="M43"/>
  <c r="N7"/>
  <c r="Q3"/>
  <c r="N4"/>
  <c r="N5"/>
  <c r="N6"/>
  <c r="N8"/>
  <c r="N9"/>
  <c r="N10"/>
  <c r="N11"/>
  <c r="L8" a="1"/>
  <c r="L8" s="1"/>
  <c r="L9" a="1"/>
  <c r="L9" s="1"/>
  <c r="L10" a="1"/>
  <c r="L10" s="1"/>
  <c r="L11" a="1"/>
  <c r="L11" s="1"/>
  <c r="L42" l="1" a="1"/>
  <c r="L42" s="1"/>
  <c r="S46"/>
  <c r="R3"/>
  <c r="S3" s="1"/>
  <c r="O56"/>
  <c r="W52"/>
  <c r="O50"/>
  <c r="S12"/>
  <c r="T12" s="1"/>
  <c r="U12" s="1"/>
  <c r="V12" s="1"/>
  <c r="S13"/>
  <c r="T13" s="1"/>
  <c r="U13" s="1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3"/>
  <c r="P34"/>
  <c r="P35"/>
  <c r="P36"/>
  <c r="P37"/>
  <c r="Q37" s="1"/>
  <c r="R37" s="1"/>
  <c r="S37" s="1"/>
  <c r="T37" s="1"/>
  <c r="U37" s="1"/>
  <c r="V37" s="1"/>
  <c r="O67"/>
  <c r="P67"/>
  <c r="Q67"/>
  <c r="R67"/>
  <c r="S67"/>
  <c r="T67"/>
  <c r="U67"/>
  <c r="V67"/>
  <c r="W67"/>
  <c r="T46" l="1"/>
  <c r="Q32"/>
  <c r="R32" s="1"/>
  <c r="S32" s="1"/>
  <c r="T32" s="1"/>
  <c r="U32" s="1"/>
  <c r="V32" s="1"/>
  <c r="W32" s="1"/>
  <c r="M16"/>
  <c r="Q15"/>
  <c r="M15"/>
  <c r="Q36"/>
  <c r="R36" s="1"/>
  <c r="S36" s="1"/>
  <c r="T36" s="1"/>
  <c r="U36" s="1"/>
  <c r="V36" s="1"/>
  <c r="W36" s="1"/>
  <c r="S31"/>
  <c r="T31" s="1"/>
  <c r="U31" s="1"/>
  <c r="V31" s="1"/>
  <c r="W31" s="1"/>
  <c r="Q35"/>
  <c r="R35" s="1"/>
  <c r="S35" s="1"/>
  <c r="T35" s="1"/>
  <c r="U35" s="1"/>
  <c r="V35" s="1"/>
  <c r="W35" s="1"/>
  <c r="L7" a="1"/>
  <c r="L7" s="1"/>
  <c r="L6" a="1"/>
  <c r="L6" s="1"/>
  <c r="L4" a="1"/>
  <c r="L4" s="1"/>
  <c r="Q33"/>
  <c r="R33" s="1"/>
  <c r="S33" s="1"/>
  <c r="T33" s="1"/>
  <c r="U33" s="1"/>
  <c r="V33" s="1"/>
  <c r="W33" s="1"/>
  <c r="L33" a="1"/>
  <c r="L33" s="1"/>
  <c r="Q34"/>
  <c r="R34" s="1"/>
  <c r="S34" s="1"/>
  <c r="T34" s="1"/>
  <c r="U34" s="1"/>
  <c r="V34" s="1"/>
  <c r="W34" s="1"/>
  <c r="N52"/>
  <c r="T14"/>
  <c r="T3"/>
  <c r="W12"/>
  <c r="M12" s="1"/>
  <c r="W37"/>
  <c r="M37" s="1"/>
  <c r="W13"/>
  <c r="M13" s="1"/>
  <c r="N67"/>
  <c r="R39"/>
  <c r="K53"/>
  <c r="L36" l="1" a="1"/>
  <c r="L36" s="1"/>
  <c r="L34" a="1"/>
  <c r="L34" s="1"/>
  <c r="M35"/>
  <c r="M33"/>
  <c r="L35" a="1"/>
  <c r="L35" s="1"/>
  <c r="M31"/>
  <c r="L31" a="1"/>
  <c r="L31" s="1"/>
  <c r="U46"/>
  <c r="L32" a="1"/>
  <c r="L32" s="1"/>
  <c r="L37" a="1"/>
  <c r="L37" s="1"/>
  <c r="M32"/>
  <c r="M34"/>
  <c r="M36"/>
  <c r="S39"/>
  <c r="T39" s="1"/>
  <c r="U39" s="1"/>
  <c r="V39" s="1"/>
  <c r="W39" s="1"/>
  <c r="U14"/>
  <c r="U3"/>
  <c r="N39" l="1"/>
  <c r="V46"/>
  <c r="W46" s="1"/>
  <c r="N46" s="1"/>
  <c r="V14"/>
  <c r="V3"/>
  <c r="M46" l="1"/>
  <c r="L46" a="1"/>
  <c r="L46" s="1"/>
  <c r="W14"/>
  <c r="M14" s="1"/>
  <c r="W3"/>
  <c r="N3" s="1"/>
  <c r="O60"/>
  <c r="O66"/>
  <c r="P50"/>
  <c r="O55" l="1"/>
  <c r="P56"/>
  <c r="Q38"/>
  <c r="Q66"/>
  <c r="P60"/>
  <c r="O68"/>
  <c r="N13"/>
  <c r="N35"/>
  <c r="N33"/>
  <c r="N32"/>
  <c r="N15"/>
  <c r="P61"/>
  <c r="P66"/>
  <c r="P55" l="1"/>
  <c r="Q50"/>
  <c r="Q56"/>
  <c r="Q60"/>
  <c r="R38"/>
  <c r="P68"/>
  <c r="R66"/>
  <c r="N34"/>
  <c r="N37"/>
  <c r="Q61"/>
  <c r="R60"/>
  <c r="N16"/>
  <c r="N36"/>
  <c r="Q68" l="1"/>
  <c r="Q55"/>
  <c r="R50"/>
  <c r="R56"/>
  <c r="S38"/>
  <c r="S60" s="1"/>
  <c r="S66"/>
  <c r="R61"/>
  <c r="R68" s="1"/>
  <c r="R55" l="1"/>
  <c r="S50"/>
  <c r="T38"/>
  <c r="T50" s="1"/>
  <c r="S61"/>
  <c r="S68" s="1"/>
  <c r="T66"/>
  <c r="T60" l="1"/>
  <c r="U38"/>
  <c r="U50" s="1"/>
  <c r="U60"/>
  <c r="U66"/>
  <c r="T61"/>
  <c r="T68" l="1"/>
  <c r="V38"/>
  <c r="V66"/>
  <c r="U61"/>
  <c r="U68" s="1"/>
  <c r="V50" l="1"/>
  <c r="V60"/>
  <c r="W38"/>
  <c r="W50" s="1"/>
  <c r="N14"/>
  <c r="V61"/>
  <c r="L38" l="1" a="1"/>
  <c r="L38" s="1"/>
  <c r="M38"/>
  <c r="V68"/>
  <c r="W60"/>
  <c r="N38"/>
  <c r="W61"/>
  <c r="W68" l="1"/>
  <c r="N66"/>
  <c r="N31"/>
  <c r="N60" l="1"/>
  <c r="N61"/>
  <c r="N12"/>
  <c r="N68" l="1"/>
  <c r="P2" l="1"/>
  <c r="L12" a="1"/>
  <c r="L12" s="1"/>
  <c r="M3"/>
  <c r="O59"/>
  <c r="L3" a="1"/>
  <c r="L3" s="1"/>
  <c r="M4" l="1"/>
  <c r="M39"/>
  <c r="L39" a="1"/>
  <c r="L39" s="1"/>
  <c r="O52"/>
  <c r="O53" s="1"/>
  <c r="L13" a="1"/>
  <c r="L13" s="1"/>
  <c r="Q2"/>
  <c r="L40" s="1" a="1"/>
  <c r="L40" s="1"/>
  <c r="P59"/>
  <c r="R2" l="1"/>
  <c r="M5"/>
  <c r="L5" a="1"/>
  <c r="L5" s="1"/>
  <c r="P52"/>
  <c r="P53" s="1"/>
  <c r="L16" a="1"/>
  <c r="L16" s="1"/>
  <c r="L14" a="1"/>
  <c r="L14" s="1"/>
  <c r="Q59"/>
  <c r="Q52"/>
  <c r="Q53" l="1"/>
  <c r="S2"/>
  <c r="R59"/>
  <c r="R52" l="1"/>
  <c r="R53" s="1"/>
  <c r="T2"/>
  <c r="S59"/>
  <c r="S52" l="1"/>
  <c r="S53" s="1"/>
  <c r="T59"/>
  <c r="U2"/>
  <c r="T52" l="1"/>
  <c r="T53" s="1"/>
  <c r="V2"/>
  <c r="L15" a="1"/>
  <c r="L15" s="1"/>
  <c r="U59"/>
  <c r="W2" l="1"/>
  <c r="J50" s="1"/>
  <c r="U52"/>
  <c r="U53" s="1"/>
  <c r="V59"/>
  <c r="V52" l="1"/>
  <c r="K51"/>
  <c r="V53" l="1"/>
  <c r="N54"/>
  <c r="O54" s="1" a="1"/>
  <c r="O54" s="1"/>
  <c r="P54" s="1" a="1"/>
  <c r="P54" s="1"/>
  <c r="Q54" s="1" a="1"/>
  <c r="Q54" s="1"/>
  <c r="R54" s="1" a="1"/>
  <c r="R54" s="1"/>
  <c r="S54" s="1" a="1"/>
  <c r="S54" s="1"/>
  <c r="T54" s="1" a="1"/>
  <c r="T54" s="1"/>
  <c r="U54" s="1" a="1"/>
  <c r="U54" s="1"/>
  <c r="V54" s="1" a="1"/>
  <c r="V54" s="1"/>
  <c r="J53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<sst xmlns="http://schemas.openxmlformats.org/spreadsheetml/2006/main" count="261" uniqueCount="136">
  <si>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</si>
  <si>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</si>
  <si>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</si>
  <si>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</si>
  <si>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</si>
  <si>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</si>
  <si>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</si>
  <si>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</si>
  <si>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</si>
  <si>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</si>
  <si>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</si>
  <si>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</si>
  <si>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</si>
  <si>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</si>
  <si>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</si>
  <si>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</si>
  <si>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</si>
  <si>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</si>
  <si>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</si>
  <si>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</si>
  <si>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</si>
  <si>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</si>
  <si>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</si>
  <si>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</si>
  <si>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</si>
  <si>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</si>
  <si>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</si>
  <si>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</si>
  <si>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</si>
  <si>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</si>
  <si>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</si>
  <si>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</si>
  <si>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</si>
  <si>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</si>
  <si>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</si>
  <si>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</si>
  <si>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</si>
  <si>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</si>
  <si>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</si>
  <si>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</si>
  <si>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</si>
  <si>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</si>
  <si>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</si>
  <si>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</si>
  <si>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</si>
  <si>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</si>
  <si>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</si>
  <si>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</si>
  <si>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</si>
  <si>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</si>
  <si>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</si>
  <si>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</si>
  <si>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</si>
  <si>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</si>
  <si>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</si>
  <si>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</si>
  <si>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</si>
  <si>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</si>
  <si>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</si>
  <si>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</si>
  <si>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</si>
  <si>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</si>
  <si>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</si>
  <si>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</si>
  <si>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</si>
  <si>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</si>
  <si>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</si>
  <si>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</si>
  <si>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</si>
  <si>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</si>
  <si>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</si>
  <si>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</si>
  <si>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</si>
  <si>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</si>
  <si>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</si>
  <si>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</si>
  <si>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</si>
  <si>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</si>
  <si>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</si>
  <si>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</si>
  <si>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</si>
  <si>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</si>
  <si>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</si>
  <si>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</si>
  <si>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</si>
  <si>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</si>
  <si>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</si>
  <si>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</si>
  <si>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</si>
  <si>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</si>
  <si>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</si>
  <si>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</si>
  <si>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</si>
  <si>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</si>
  <si>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</si>
  <si>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</si>
  <si>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</si>
  <si>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</si>
  <si>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</si>
  <si>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</si>
  <si>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</si>
  <si>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</si>
  <si>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</si>
  <si>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</si>
  <si>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</si>
  <si>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</si>
  <si>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</si>
  <si>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</si>
  <si>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</si>
  <si>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</si>
  <si>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</si>
  <si>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</si>
  <si>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</si>
  <si>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</si>
  <si>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</si>
  <si>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</si>
  <si>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</si>
  <si>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</si>
  <si>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</si>
  <si>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</si>
  <si>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</si>
  <si>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</si>
  <si>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</si>
  <si>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</si>
  <si>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</si>
  <si>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</si>
  <si>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</si>
  <si>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</si>
  <si>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</si>
  <si>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</si>
  <si>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</si>
  <si>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</si>
  <si>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</si>
  <si>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</si>
  <si>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</si>
  <si>
    <t>CM;FB;MO;RG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</si>
</sst>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78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Tracking'!$N$53:$W$53</c:f>
              <c:numCache>
                <c:formatCode>Estandar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Tracking'!$N$54:$W$54</c:f>
              <c:numCache>
                <c:formatCode>Estandar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Tracking'!$N$55:$W$55</c:f>
              <c:numCache>
                <c:formatCode>Estandar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74.25</c:v>
                </c:pt>
              </c:numCache>
            </c:numRef>
          </c:val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Tracking'!$N$56:$W$56</c:f>
              <c:numCache>
                <c:formatCode>Estandar</c:formatCode>
                <c:ptCount val="10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</c:v>
                </c:pt>
                <c:pt idx="4">
                  <c:v>79.75</c:v>
                </c:pt>
              </c:numCache>
            </c:numRef>
          </c:val>
        </c:ser>
        <c:marker val="1"/>
        <c:axId val="178334720"/>
        <c:axId val="179737344"/>
      </c:lineChart>
      <c:catAx>
        <c:axId val="178334720"/>
        <c:scaling>
          <c:orientation val="minMax"/>
        </c:scaling>
        <c:axPos val="b"/>
        <c:numFmt formatCode="m\/d\/\y\y\y\y" sourceLinked="1"/>
        <c:tickLblPos val="nextTo"/>
        <c:crossAx val="179737344"/>
        <c:crosses val="autoZero"/>
        <c:lblAlgn val="ctr"/>
        <c:lblOffset val="100"/>
      </c:catAx>
      <c:valAx>
        <c:axId val="17973734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7833472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71"/>
  <sheetViews>
    <sheetView showGridLines="0" tabSelected="1" zoomScaleNormal="100" workbookViewId="0">
      <pane xSplit="6" ySplit="2" topLeftCell="G42" activePane="bottomRight" state="frozen"/>
      <selection pane="topRight" activeCell="F1" sqref="F1"/>
      <selection pane="bottomLeft" activeCell="A3" sqref="A3"/>
      <selection pane="bottomRight" activeCell="R42" sqref="R42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123</v>
      </c>
      <c r="T8" s="51" t="s">
        <v>123</v>
      </c>
      <c r="U8" s="51" t="s">
        <v>123</v>
      </c>
      <c r="V8" s="51" t="s">
        <v>123</v>
      </c>
      <c r="W8" s="51" t="s">
        <v>123</v>
      </c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1.75</v>
      </c>
      <c r="O38" s="51">
        <f>1+0.75</f>
        <v>1.75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124</v>
      </c>
      <c r="D39" s="68" t="s">
        <v>126</v>
      </c>
      <c r="E39" s="4"/>
      <c r="F39" s="17" t="s">
        <v>135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1.75</v>
      </c>
      <c r="O39" s="51"/>
      <c r="P39" s="51">
        <f>0.25+0.5+0.75+0.25</f>
        <v>1.75</v>
      </c>
      <c r="Q39" s="51" t="s">
        <v>123</v>
      </c>
      <c r="R39" s="51" t="str">
        <f t="shared" ref="R39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124</v>
      </c>
      <c r="D40" s="68" t="s">
        <v>127</v>
      </c>
      <c r="E40" s="68"/>
      <c r="F40" s="17" t="s">
        <v>135</v>
      </c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2.5</v>
      </c>
      <c r="O40" s="51"/>
      <c r="P40" s="51" t="str">
        <f t="shared" ref="P40" si="19">IF(ISNUMBER(O40)," ",IF(O40="X","X"," "))</f>
        <v xml:space="preserve"> </v>
      </c>
      <c r="Q40" s="51">
        <f>1+0.5+0.5+0.25+0.25</f>
        <v>2.5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>
        <f t="array" ref="L41">IF(ISNA(INDEX($O$2:$DA$2,1,MATCH(1,IF($O41:$DM41,1),0))),"",INDEX($O$2:$DA$2,1,MATCH(1,IF($O41:$DM41,1),0)))</f>
        <v>41393</v>
      </c>
      <c r="M41" s="55" t="str">
        <f t="shared" si="1"/>
        <v/>
      </c>
      <c r="N41" s="56">
        <f t="shared" si="18"/>
        <v>0.75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>
        <f>0.25+0.25+0.25</f>
        <v>0.75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6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ref="R42:R49" si="27">IF(ISNUMBER(Q42)," ",IF(Q42="X","X"," "))</f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6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7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6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7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33.5</v>
      </c>
      <c r="P50" s="56">
        <f t="shared" si="28"/>
        <v>18.25</v>
      </c>
      <c r="Q50" s="56">
        <f t="shared" si="28"/>
        <v>24.25</v>
      </c>
      <c r="R50" s="56">
        <f t="shared" si="28"/>
        <v>3.75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5.7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74.25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33.5</v>
      </c>
      <c r="P56" s="6">
        <f>SUM(P3:P39)+O56</f>
        <v>51.75</v>
      </c>
      <c r="Q56" s="6">
        <f>SUM(Q3:Q39)+P56</f>
        <v>76</v>
      </c>
      <c r="R56" s="6">
        <f>SUM(R3:R39)+Q56</f>
        <v>79.75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5.75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79.75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241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320.75</v>
      </c>
      <c r="O68" s="48">
        <f t="shared" ref="O68:R68" si="36">SUM(O60:O67)</f>
        <v>0</v>
      </c>
      <c r="P68" s="48">
        <f t="shared" si="36"/>
        <v>0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2013-05-09T23:06:24Z</dcterms:modified>
</cp:coreProperties>
</file>