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R8" i="2"/>
  <c r="Q8" l="1"/>
  <c r="P39" l="1"/>
  <c r="P40" l="1"/>
  <c r="S40" s="1"/>
  <c r="T40" s="1"/>
  <c r="U40" s="1"/>
  <c r="V40" s="1"/>
  <c r="W40" s="1"/>
  <c r="P41"/>
  <c r="Q41" s="1"/>
  <c r="R41" s="1"/>
  <c r="S41" s="1"/>
  <c r="T41" s="1"/>
  <c r="U41" s="1"/>
  <c r="V41" s="1"/>
  <c r="W41" s="1"/>
  <c r="P42"/>
  <c r="P43"/>
  <c r="Q43" s="1"/>
  <c r="P44"/>
  <c r="Q44" s="1"/>
  <c r="R44" s="1"/>
  <c r="S44" s="1"/>
  <c r="T44" s="1"/>
  <c r="U44" s="1"/>
  <c r="V44" s="1"/>
  <c r="W44" s="1"/>
  <c r="P45"/>
  <c r="Q45" s="1"/>
  <c r="R45" s="1"/>
  <c r="S45" s="1"/>
  <c r="T45" s="1"/>
  <c r="U45" s="1"/>
  <c r="V45" s="1"/>
  <c r="W45" s="1"/>
  <c r="P46"/>
  <c r="P47"/>
  <c r="Q47" s="1"/>
  <c r="P48"/>
  <c r="Q48" s="1"/>
  <c r="R48" s="1"/>
  <c r="S48" s="1"/>
  <c r="T48" s="1"/>
  <c r="U48" s="1"/>
  <c r="V48" s="1"/>
  <c r="W48" s="1"/>
  <c r="P49"/>
  <c r="Q49" l="1"/>
  <c r="R49" s="1"/>
  <c r="S49" s="1"/>
  <c r="T49" s="1"/>
  <c r="U49" s="1"/>
  <c r="V49" s="1"/>
  <c r="W49" s="1"/>
  <c r="L41" a="1"/>
  <c r="L41" s="1"/>
  <c r="L45" a="1"/>
  <c r="L45" s="1"/>
  <c r="M49"/>
  <c r="M45"/>
  <c r="M41"/>
  <c r="L48" a="1"/>
  <c r="L48" s="1"/>
  <c r="R47"/>
  <c r="S47" s="1"/>
  <c r="T47" s="1"/>
  <c r="U47" s="1"/>
  <c r="V47" s="1"/>
  <c r="W47" s="1"/>
  <c r="N47"/>
  <c r="R43"/>
  <c r="S43" s="1"/>
  <c r="T43" s="1"/>
  <c r="U43" s="1"/>
  <c r="V43" s="1"/>
  <c r="W43" s="1"/>
  <c r="L44" a="1"/>
  <c r="L44" s="1"/>
  <c r="N48"/>
  <c r="N44"/>
  <c r="N40"/>
  <c r="M48"/>
  <c r="M44"/>
  <c r="M40"/>
  <c r="N49"/>
  <c r="Q46"/>
  <c r="N45"/>
  <c r="Q42"/>
  <c r="N41"/>
  <c r="O61"/>
  <c r="M6"/>
  <c r="M7"/>
  <c r="M8"/>
  <c r="M9"/>
  <c r="M10"/>
  <c r="M11"/>
  <c r="M17"/>
  <c r="M18"/>
  <c r="M19"/>
  <c r="M20"/>
  <c r="M21"/>
  <c r="M22"/>
  <c r="M23"/>
  <c r="M24"/>
  <c r="M25"/>
  <c r="M26"/>
  <c r="M27"/>
  <c r="M28"/>
  <c r="M29"/>
  <c r="M30"/>
  <c r="L17" a="1"/>
  <c r="L17" s="1"/>
  <c r="L18" a="1"/>
  <c r="L18" s="1"/>
  <c r="L19" a="1"/>
  <c r="L19" s="1"/>
  <c r="L20" a="1"/>
  <c r="L20" s="1"/>
  <c r="L21" a="1"/>
  <c r="L21" s="1"/>
  <c r="L22" a="1"/>
  <c r="L22" s="1"/>
  <c r="L23" a="1"/>
  <c r="L23" s="1"/>
  <c r="L24" a="1"/>
  <c r="L24" s="1"/>
  <c r="L25" a="1"/>
  <c r="L25" s="1"/>
  <c r="L26" a="1"/>
  <c r="L26" s="1"/>
  <c r="L27" a="1"/>
  <c r="L27" s="1"/>
  <c r="L28" a="1"/>
  <c r="L28" s="1"/>
  <c r="L29" a="1"/>
  <c r="L29" s="1"/>
  <c r="L30" a="1"/>
  <c r="L30" s="1"/>
  <c r="N17"/>
  <c r="N18"/>
  <c r="N19"/>
  <c r="N20"/>
  <c r="N21"/>
  <c r="N22"/>
  <c r="N23"/>
  <c r="N24"/>
  <c r="N25"/>
  <c r="N26"/>
  <c r="N27"/>
  <c r="N28"/>
  <c r="N29"/>
  <c r="N30"/>
  <c r="L49" l="1" a="1"/>
  <c r="L49" s="1"/>
  <c r="L47" a="1"/>
  <c r="L47" s="1"/>
  <c r="N43"/>
  <c r="R42"/>
  <c r="S42" s="1"/>
  <c r="T42" s="1"/>
  <c r="U42" s="1"/>
  <c r="V42" s="1"/>
  <c r="W42" s="1"/>
  <c r="R46"/>
  <c r="M47"/>
  <c r="M42"/>
  <c r="N42"/>
  <c r="L43" a="1"/>
  <c r="L43" s="1"/>
  <c r="M43"/>
  <c r="N7"/>
  <c r="Q3"/>
  <c r="N4"/>
  <c r="N5"/>
  <c r="N6"/>
  <c r="N8"/>
  <c r="N9"/>
  <c r="N10"/>
  <c r="N11"/>
  <c r="L8" a="1"/>
  <c r="L8" s="1"/>
  <c r="L9" a="1"/>
  <c r="L9" s="1"/>
  <c r="L10" a="1"/>
  <c r="L10" s="1"/>
  <c r="L11" a="1"/>
  <c r="L11" s="1"/>
  <c r="L42" l="1" a="1"/>
  <c r="L42" s="1"/>
  <c r="S46"/>
  <c r="R3"/>
  <c r="S3" s="1"/>
  <c r="O56"/>
  <c r="W52"/>
  <c r="O50"/>
  <c r="S12"/>
  <c r="T12" s="1"/>
  <c r="U12" s="1"/>
  <c r="V12" s="1"/>
  <c r="S13"/>
  <c r="T13" s="1"/>
  <c r="U13" s="1"/>
  <c r="V13" s="1"/>
  <c r="S15"/>
  <c r="T15" s="1"/>
  <c r="U15" s="1"/>
  <c r="V15" s="1"/>
  <c r="W15" s="1"/>
  <c r="S16"/>
  <c r="T16" s="1"/>
  <c r="U16" s="1"/>
  <c r="V16" s="1"/>
  <c r="W16" s="1"/>
  <c r="O2"/>
  <c r="P15"/>
  <c r="P16"/>
  <c r="P31"/>
  <c r="P32"/>
  <c r="P33"/>
  <c r="P34"/>
  <c r="P35"/>
  <c r="P36"/>
  <c r="P37"/>
  <c r="Q37" s="1"/>
  <c r="R37" s="1"/>
  <c r="S37" s="1"/>
  <c r="T37" s="1"/>
  <c r="U37" s="1"/>
  <c r="V37" s="1"/>
  <c r="O67"/>
  <c r="P67"/>
  <c r="Q67"/>
  <c r="R67"/>
  <c r="S67"/>
  <c r="T67"/>
  <c r="U67"/>
  <c r="V67"/>
  <c r="W67"/>
  <c r="T46" l="1"/>
  <c r="Q32"/>
  <c r="R32" s="1"/>
  <c r="S32" s="1"/>
  <c r="T32" s="1"/>
  <c r="U32" s="1"/>
  <c r="V32" s="1"/>
  <c r="W32" s="1"/>
  <c r="M16"/>
  <c r="Q15"/>
  <c r="M15"/>
  <c r="Q36"/>
  <c r="R36" s="1"/>
  <c r="S36" s="1"/>
  <c r="T36" s="1"/>
  <c r="U36" s="1"/>
  <c r="V36" s="1"/>
  <c r="W36" s="1"/>
  <c r="S31"/>
  <c r="T31" s="1"/>
  <c r="U31" s="1"/>
  <c r="V31" s="1"/>
  <c r="W31" s="1"/>
  <c r="Q35"/>
  <c r="R35" s="1"/>
  <c r="S35" s="1"/>
  <c r="T35" s="1"/>
  <c r="U35" s="1"/>
  <c r="V35" s="1"/>
  <c r="W35" s="1"/>
  <c r="L7" a="1"/>
  <c r="L7" s="1"/>
  <c r="L6" a="1"/>
  <c r="L6" s="1"/>
  <c r="L4" a="1"/>
  <c r="L4" s="1"/>
  <c r="Q33"/>
  <c r="R33" s="1"/>
  <c r="S33" s="1"/>
  <c r="T33" s="1"/>
  <c r="U33" s="1"/>
  <c r="V33" s="1"/>
  <c r="W33" s="1"/>
  <c r="L33" a="1"/>
  <c r="L33" s="1"/>
  <c r="Q34"/>
  <c r="R34" s="1"/>
  <c r="S34" s="1"/>
  <c r="T34" s="1"/>
  <c r="U34" s="1"/>
  <c r="V34" s="1"/>
  <c r="W34" s="1"/>
  <c r="N52"/>
  <c r="T14"/>
  <c r="T3"/>
  <c r="W12"/>
  <c r="M12" s="1"/>
  <c r="W37"/>
  <c r="M37" s="1"/>
  <c r="W13"/>
  <c r="M13" s="1"/>
  <c r="N67"/>
  <c r="R39"/>
  <c r="K53"/>
  <c r="L36" l="1" a="1"/>
  <c r="L36" s="1"/>
  <c r="L34" a="1"/>
  <c r="L34" s="1"/>
  <c r="M35"/>
  <c r="M33"/>
  <c r="L35" a="1"/>
  <c r="L35" s="1"/>
  <c r="M31"/>
  <c r="L31" a="1"/>
  <c r="L31" s="1"/>
  <c r="U46"/>
  <c r="L32" a="1"/>
  <c r="L32" s="1"/>
  <c r="L37" a="1"/>
  <c r="L37" s="1"/>
  <c r="M32"/>
  <c r="M34"/>
  <c r="M36"/>
  <c r="S39"/>
  <c r="T39" s="1"/>
  <c r="U39" s="1"/>
  <c r="V39" s="1"/>
  <c r="W39" s="1"/>
  <c r="U14"/>
  <c r="U3"/>
  <c r="N39" l="1"/>
  <c r="V46"/>
  <c r="W46" s="1"/>
  <c r="N46" s="1"/>
  <c r="V14"/>
  <c r="V3"/>
  <c r="M46" l="1"/>
  <c r="L46" a="1"/>
  <c r="L46" s="1"/>
  <c r="W14"/>
  <c r="M14" s="1"/>
  <c r="W3"/>
  <c r="N3" s="1"/>
  <c r="O60"/>
  <c r="O66"/>
  <c r="P50"/>
  <c r="O55" l="1"/>
  <c r="P56"/>
  <c r="Q38"/>
  <c r="Q66"/>
  <c r="P60"/>
  <c r="O68"/>
  <c r="N13"/>
  <c r="N35"/>
  <c r="N33"/>
  <c r="N32"/>
  <c r="N15"/>
  <c r="P61"/>
  <c r="P66"/>
  <c r="P55" l="1"/>
  <c r="Q50"/>
  <c r="Q56"/>
  <c r="Q60"/>
  <c r="R38"/>
  <c r="P68"/>
  <c r="R66"/>
  <c r="N34"/>
  <c r="N37"/>
  <c r="Q61"/>
  <c r="R60"/>
  <c r="N16"/>
  <c r="N36"/>
  <c r="Q68" l="1"/>
  <c r="Q55"/>
  <c r="R50"/>
  <c r="R56"/>
  <c r="S38"/>
  <c r="S60" s="1"/>
  <c r="S66"/>
  <c r="R61"/>
  <c r="R68" s="1"/>
  <c r="R55" l="1"/>
  <c r="S50"/>
  <c r="T38"/>
  <c r="T50" s="1"/>
  <c r="S61"/>
  <c r="S68" s="1"/>
  <c r="T66"/>
  <c r="T60" l="1"/>
  <c r="U38"/>
  <c r="U50" s="1"/>
  <c r="U60"/>
  <c r="U66"/>
  <c r="T61"/>
  <c r="T68" l="1"/>
  <c r="V38"/>
  <c r="V66"/>
  <c r="U61"/>
  <c r="U68" s="1"/>
  <c r="V50" l="1"/>
  <c r="V60"/>
  <c r="W38"/>
  <c r="W50" s="1"/>
  <c r="N14"/>
  <c r="V61"/>
  <c r="L38" l="1" a="1"/>
  <c r="L38" s="1"/>
  <c r="M38"/>
  <c r="V68"/>
  <c r="W60"/>
  <c r="N38"/>
  <c r="W61"/>
  <c r="W68" l="1"/>
  <c r="N66"/>
  <c r="N31"/>
  <c r="N60" l="1"/>
  <c r="N61"/>
  <c r="N12"/>
  <c r="N68" l="1"/>
  <c r="P2" l="1"/>
  <c r="L12" a="1"/>
  <c r="L12" s="1"/>
  <c r="M3"/>
  <c r="O59"/>
  <c r="L3" a="1"/>
  <c r="L3" s="1"/>
  <c r="M4" l="1"/>
  <c r="M39"/>
  <c r="L39" a="1"/>
  <c r="L39" s="1"/>
  <c r="O52"/>
  <c r="O53" s="1"/>
  <c r="L13" a="1"/>
  <c r="L13" s="1"/>
  <c r="Q2"/>
  <c r="L40" s="1" a="1"/>
  <c r="L40" s="1"/>
  <c r="P59"/>
  <c r="R2" l="1"/>
  <c r="M5"/>
  <c r="L5" a="1"/>
  <c r="L5" s="1"/>
  <c r="P52"/>
  <c r="P53" s="1"/>
  <c r="L16" a="1"/>
  <c r="L16" s="1"/>
  <c r="L14" a="1"/>
  <c r="L14" s="1"/>
  <c r="Q59"/>
  <c r="Q52"/>
  <c r="Q53" l="1"/>
  <c r="S2"/>
  <c r="R59"/>
  <c r="R52" l="1"/>
  <c r="R53" s="1"/>
  <c r="T2"/>
  <c r="S59"/>
  <c r="S52" l="1"/>
  <c r="S53" s="1"/>
  <c r="T59"/>
  <c r="U2"/>
  <c r="T52" l="1"/>
  <c r="T53" s="1"/>
  <c r="V2"/>
  <c r="L15" a="1"/>
  <c r="L15" s="1"/>
  <c r="U59"/>
  <c r="W2" l="1"/>
  <c r="J50" s="1"/>
  <c r="U52"/>
  <c r="U53" s="1"/>
  <c r="V59"/>
  <c r="V52" l="1"/>
  <c r="K51"/>
  <c r="V53" l="1"/>
  <c r="N54"/>
  <c r="O54" s="1" a="1"/>
  <c r="O54" s="1"/>
  <c r="P54" s="1" a="1"/>
  <c r="P54" s="1"/>
  <c r="Q54" s="1" a="1"/>
  <c r="Q54" s="1"/>
  <c r="R54" s="1" a="1"/>
  <c r="R54" s="1"/>
  <c r="S54" s="1" a="1"/>
  <c r="S54" s="1"/>
  <c r="T54" s="1" a="1"/>
  <c r="T54" s="1"/>
  <c r="U54" s="1" a="1"/>
  <c r="U54" s="1"/>
  <c r="V54" s="1" a="1"/>
  <c r="V54" s="1"/>
  <c r="J53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<sst xmlns="http://schemas.openxmlformats.org/spreadsheetml/2006/main" count="255" uniqueCount="135">
  <si>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</si>
  <si>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</si>
  <si>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</si>
  <si>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</si>
  <si>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</si>
  <si>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</si>
  <si>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</si>
  <si>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</si>
  <si>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</si>
  <si>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</si>
  <si>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</si>
  <si>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</si>
  <si>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</si>
  <si>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</si>
  <si>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</si>
  <si>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</si>
  <si>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</si>
  <si>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</si>
  <si>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</si>
  <si>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</si>
  <si>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</si>
  <si>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</si>
  <si>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</si>
  <si>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</si>
  <si>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</si>
  <si>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</si>
  <si>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</si>
  <si>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</si>
  <si>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</si>
  <si>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</si>
  <si>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</si>
  <si>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</si>
  <si>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</si>
  <si>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</si>
  <si>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</si>
  <si>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</si>
  <si>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</si>
  <si>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</si>
  <si>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</si>
  <si>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</si>
  <si>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</si>
  <si>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</si>
  <si>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</si>
  <si>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</si>
  <si>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</si>
  <si>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</si>
  <si>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</si>
  <si>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</si>
  <si>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</si>
  <si>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</si>
  <si>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</si>
  <si>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</si>
  <si>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</si>
  <si>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</si>
  <si>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</si>
  <si>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</si>
  <si>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</si>
  <si>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</si>
  <si>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</si>
  <si>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</si>
  <si>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</si>
  <si>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</si>
  <si>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</si>
  <si>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</si>
  <si>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</si>
  <si>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</si>
  <si>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</si>
  <si>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</si>
  <si>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</si>
  <si>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</si>
  <si>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</si>
  <si>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</si>
  <si>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</si>
  <si>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</si>
  <si>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</si>
  <si>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</si>
  <si>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</si>
  <si>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</si>
  <si>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</si>
  <si>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</si>
  <si>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</si>
  <si>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</si>
  <si>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</si>
  <si>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</si>
  <si>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</si>
  <si>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</si>
  <si>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</si>
  <si>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</si>
  <si>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</si>
  <si>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</si>
  <si>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</si>
  <si>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</si>
  <si>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</si>
  <si>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</si>
  <si>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</si>
  <si>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</si>
  <si>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</si>
  <si>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</si>
  <si>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</si>
  <si>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</si>
  <si>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</si>
  <si>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</si>
  <si>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</si>
  <si>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</si>
  <si>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</si>
  <si>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</si>
  <si>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</si>
  <si>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</si>
  <si>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</si>
  <si>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</si>
  <si>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</si>
  <si>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</si>
  <si>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</si>
  <si>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</si>
  <si>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</si>
  <si>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</si>
  <si>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</si>
  <si>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</si>
  <si>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</si>
  <si>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</si>
  <si>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</si>
  <si>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</si>
  <si>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</si>
  <si>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</si>
  <si>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</si>
  <si>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</si>
  <si>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</si>
  <si>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</si>
  <si>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</si>
  <si>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</si>
  <si>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</si>
  <si>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</si>
  <si>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</si>
  <si>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</si>
  <si>
    <t>JG;MO;CM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</si>
</sst>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667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Tracking'!$N$53:$W$53</c:f>
              <c:numCache>
                <c:formatCode>Estandar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  <c:pt idx="8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Tracking'!$N$54:$W$54</c:f>
              <c:numCache>
                <c:formatCode>Estandar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90.25</c:v>
                </c:pt>
                <c:pt idx="5">
                  <c:v>150.25</c:v>
                </c:pt>
                <c:pt idx="6">
                  <c:v>198.25</c:v>
                </c:pt>
                <c:pt idx="7">
                  <c:v>235.25</c:v>
                </c:pt>
                <c:pt idx="8">
                  <c:v>269.25</c:v>
                </c:pt>
              </c:numCache>
            </c:numRef>
          </c:val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Tracking'!$N$55:$W$55</c:f>
              <c:numCache>
                <c:formatCode>Estandar</c:formatCode>
                <c:ptCount val="10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61.25</c:v>
                </c:pt>
              </c:numCache>
            </c:numRef>
          </c:val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Tracking'!$N$56:$W$56</c:f>
              <c:numCache>
                <c:formatCode>Estandar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50</c:v>
                </c:pt>
                <c:pt idx="3">
                  <c:v>74.25</c:v>
                </c:pt>
                <c:pt idx="4">
                  <c:v>75.5</c:v>
                </c:pt>
              </c:numCache>
            </c:numRef>
          </c:val>
        </c:ser>
        <c:dLbls/>
        <c:marker val="1"/>
        <c:axId val="202085504"/>
        <c:axId val="202087040"/>
      </c:lineChart>
      <c:catAx>
        <c:axId val="202085504"/>
        <c:scaling>
          <c:orientation val="minMax"/>
        </c:scaling>
        <c:axPos val="b"/>
        <c:numFmt formatCode="m\/d\/\y\y\y\y" sourceLinked="1"/>
        <c:tickLblPos val="nextTo"/>
        <c:crossAx val="202087040"/>
        <c:crosses val="autoZero"/>
        <c:lblAlgn val="ctr"/>
        <c:lblOffset val="100"/>
      </c:catAx>
      <c:valAx>
        <c:axId val="20208704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20208550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R40" sqref="R40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121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9" si="3">SUM(O4:CG4)</f>
        <v>11.5</v>
      </c>
      <c r="O4" s="51">
        <v>10.5</v>
      </c>
      <c r="P4" s="51">
        <v>1</v>
      </c>
      <c r="Q4" s="51" t="s">
        <v>122</v>
      </c>
      <c r="R4" s="51" t="s">
        <v>122</v>
      </c>
      <c r="S4" s="51" t="s">
        <v>122</v>
      </c>
      <c r="T4" s="51" t="s">
        <v>122</v>
      </c>
      <c r="U4" s="51" t="s">
        <v>122</v>
      </c>
      <c r="V4" s="51" t="s">
        <v>123</v>
      </c>
      <c r="W4" s="51" t="s">
        <v>122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 t="s">
        <v>121</v>
      </c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122</v>
      </c>
      <c r="R5" s="51" t="s">
        <v>122</v>
      </c>
      <c r="S5" s="51" t="s">
        <v>122</v>
      </c>
      <c r="T5" s="51" t="s">
        <v>122</v>
      </c>
      <c r="U5" s="51" t="s">
        <v>122</v>
      </c>
      <c r="V5" s="51" t="s">
        <v>122</v>
      </c>
      <c r="W5" s="51" t="s">
        <v>122</v>
      </c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 t="s">
        <v>134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122</v>
      </c>
      <c r="S6" s="51" t="s">
        <v>122</v>
      </c>
      <c r="T6" s="51" t="s">
        <v>122</v>
      </c>
      <c r="U6" s="51" t="s">
        <v>122</v>
      </c>
      <c r="V6" s="51" t="s">
        <v>122</v>
      </c>
      <c r="W6" s="51" t="s">
        <v>122</v>
      </c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114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18.5</v>
      </c>
      <c r="O7" s="51">
        <v>10</v>
      </c>
      <c r="P7" s="51">
        <v>8</v>
      </c>
      <c r="Q7" s="51">
        <v>0.5</v>
      </c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121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 t="str">
        <f t="shared" si="1"/>
        <v/>
      </c>
      <c r="N8" s="56">
        <f t="shared" si="3"/>
        <v>7.75</v>
      </c>
      <c r="O8" s="51"/>
      <c r="P8" s="51"/>
      <c r="Q8" s="51">
        <f>2.25+1.75+2.5</f>
        <v>6.5</v>
      </c>
      <c r="R8" s="51">
        <f>1.25</f>
        <v>1.25</v>
      </c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121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115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 t="s">
        <v>116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117</v>
      </c>
      <c r="G12" s="75">
        <v>41386</v>
      </c>
      <c r="H12" s="75">
        <v>41400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41386</v>
      </c>
      <c r="M12" s="55" t="str">
        <f t="shared" si="1"/>
        <v/>
      </c>
      <c r="N12" s="79">
        <f t="shared" si="3"/>
        <v>2.25</v>
      </c>
      <c r="O12" s="80"/>
      <c r="P12" s="80"/>
      <c r="Q12" s="80">
        <v>2.25</v>
      </c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121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118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118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118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118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118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118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121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121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119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120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124</v>
      </c>
      <c r="D38" s="68" t="s">
        <v>125</v>
      </c>
      <c r="E38" s="68"/>
      <c r="F38" s="17" t="s">
        <v>132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123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124</v>
      </c>
      <c r="D39" s="68" t="s">
        <v>126</v>
      </c>
      <c r="E39" s="4"/>
      <c r="F39" s="17" t="s">
        <v>105</v>
      </c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0.75</v>
      </c>
      <c r="O39" s="51"/>
      <c r="P39" s="51">
        <f>0.25+0.5</f>
        <v>0.75</v>
      </c>
      <c r="Q39" s="51" t="s">
        <v>123</v>
      </c>
      <c r="R39" s="51" t="str">
        <f t="shared" ref="R39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124</v>
      </c>
      <c r="D40" s="68" t="s">
        <v>127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>
        <f t="array" ref="L40">IF(ISNA(INDEX($O$2:$DA$2,1,MATCH(1,IF($O40:$DM40,1),0))),"",INDEX($O$2:$DA$2,1,MATCH(1,IF($O40:$DM40,1),0)))</f>
        <v>41386</v>
      </c>
      <c r="M40" s="55">
        <f t="shared" si="1"/>
        <v>41386</v>
      </c>
      <c r="N40" s="56">
        <f t="shared" ref="N40:N49" si="18">SUM(O40:CG40)</f>
        <v>1</v>
      </c>
      <c r="O40" s="51"/>
      <c r="P40" s="51" t="str">
        <f t="shared" ref="P40" si="19">IF(ISNUMBER(O40)," ",IF(O40="X","X"," "))</f>
        <v xml:space="preserve"> </v>
      </c>
      <c r="Q40" s="51">
        <v>1</v>
      </c>
      <c r="R40" s="51" t="s">
        <v>123</v>
      </c>
      <c r="S40" s="51" t="str">
        <f t="shared" ref="S40:S49" si="20">IF(ISNUMBER(R40)," ",IF(R40="X","X"," "))</f>
        <v>X</v>
      </c>
      <c r="T40" s="51" t="str">
        <f t="shared" ref="T40:T49" si="21">IF(ISNUMBER(S40)," ",IF(S40="X","X"," "))</f>
        <v>X</v>
      </c>
      <c r="U40" s="51" t="str">
        <f t="shared" ref="U40:U49" si="22">IF(ISNUMBER(T40)," ",IF(T40="X","X"," "))</f>
        <v>X</v>
      </c>
      <c r="V40" s="51" t="str">
        <f t="shared" ref="V40:V49" si="23">IF(ISNUMBER(U40)," ",IF(U40="X","X"," "))</f>
        <v>X</v>
      </c>
      <c r="W40" s="51" t="str">
        <f>IF(ISNUMBER(V40)," ",IF(V40="X","X"," "))</f>
        <v>X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124</v>
      </c>
      <c r="D41" s="68" t="s">
        <v>128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4">IF(ISNUMBER(O41)," ",IF(O41="X","X"," "))</f>
        <v xml:space="preserve"> </v>
      </c>
      <c r="Q41" s="51" t="str">
        <f t="shared" ref="Q41:Q49" si="25">IF(ISNUMBER(P41)," ",IF(P41="X","X"," "))</f>
        <v xml:space="preserve"> </v>
      </c>
      <c r="R41" s="51" t="str">
        <f t="shared" ref="R41:R49" si="26">IF(ISNUMBER(Q41)," ",IF(Q41="X","X"," "))</f>
        <v xml:space="preserve"> </v>
      </c>
      <c r="S41" s="51" t="str">
        <f t="shared" si="20"/>
        <v xml:space="preserve"> </v>
      </c>
      <c r="T41" s="51" t="str">
        <f t="shared" si="21"/>
        <v xml:space="preserve"> </v>
      </c>
      <c r="U41" s="51" t="str">
        <f t="shared" si="22"/>
        <v xml:space="preserve"> </v>
      </c>
      <c r="V41" s="51" t="str">
        <f t="shared" si="23"/>
        <v xml:space="preserve"> </v>
      </c>
      <c r="W41" s="51" t="str">
        <f t="shared" ref="W41:W49" si="27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124</v>
      </c>
      <c r="D42" s="68" t="s">
        <v>129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4"/>
        <v xml:space="preserve"> </v>
      </c>
      <c r="Q42" s="51" t="str">
        <f t="shared" si="25"/>
        <v xml:space="preserve"> </v>
      </c>
      <c r="R42" s="51" t="str">
        <f t="shared" si="26"/>
        <v xml:space="preserve"> </v>
      </c>
      <c r="S42" s="51" t="str">
        <f t="shared" si="20"/>
        <v xml:space="preserve"> </v>
      </c>
      <c r="T42" s="51" t="str">
        <f t="shared" si="21"/>
        <v xml:space="preserve"> </v>
      </c>
      <c r="U42" s="51" t="str">
        <f t="shared" si="22"/>
        <v xml:space="preserve"> </v>
      </c>
      <c r="V42" s="51" t="str">
        <f t="shared" si="23"/>
        <v xml:space="preserve"> </v>
      </c>
      <c r="W42" s="51" t="str">
        <f t="shared" si="27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124</v>
      </c>
      <c r="D43" s="68" t="s">
        <v>130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4"/>
        <v xml:space="preserve"> </v>
      </c>
      <c r="Q43" s="51" t="str">
        <f t="shared" si="25"/>
        <v xml:space="preserve"> </v>
      </c>
      <c r="R43" s="51" t="str">
        <f t="shared" si="26"/>
        <v xml:space="preserve"> </v>
      </c>
      <c r="S43" s="51" t="str">
        <f t="shared" si="20"/>
        <v xml:space="preserve"> </v>
      </c>
      <c r="T43" s="51" t="str">
        <f t="shared" si="21"/>
        <v xml:space="preserve"> </v>
      </c>
      <c r="U43" s="51" t="str">
        <f t="shared" si="22"/>
        <v xml:space="preserve"> </v>
      </c>
      <c r="V43" s="51" t="str">
        <f t="shared" si="23"/>
        <v xml:space="preserve"> </v>
      </c>
      <c r="W43" s="51" t="str">
        <f t="shared" si="27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124</v>
      </c>
      <c r="D44" s="68" t="s">
        <v>131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4"/>
        <v xml:space="preserve"> </v>
      </c>
      <c r="Q44" s="51" t="str">
        <f t="shared" si="25"/>
        <v xml:space="preserve"> </v>
      </c>
      <c r="R44" s="51" t="str">
        <f t="shared" si="26"/>
        <v xml:space="preserve"> </v>
      </c>
      <c r="S44" s="51" t="str">
        <f t="shared" si="20"/>
        <v xml:space="preserve"> </v>
      </c>
      <c r="T44" s="51" t="str">
        <f t="shared" si="21"/>
        <v xml:space="preserve"> </v>
      </c>
      <c r="U44" s="51" t="str">
        <f t="shared" si="22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124</v>
      </c>
      <c r="D45" s="68" t="s">
        <v>133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4"/>
        <v xml:space="preserve"> </v>
      </c>
      <c r="Q45" s="51" t="str">
        <f t="shared" si="25"/>
        <v xml:space="preserve"> </v>
      </c>
      <c r="R45" s="51" t="str">
        <f t="shared" si="26"/>
        <v xml:space="preserve"> </v>
      </c>
      <c r="S45" s="51" t="str">
        <f t="shared" si="20"/>
        <v xml:space="preserve"> </v>
      </c>
      <c r="T45" s="51" t="str">
        <f t="shared" si="21"/>
        <v xml:space="preserve"> </v>
      </c>
      <c r="U45" s="51" t="str">
        <f t="shared" si="22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4"/>
        <v xml:space="preserve"> </v>
      </c>
      <c r="Q46" s="51" t="str">
        <f t="shared" si="25"/>
        <v xml:space="preserve"> </v>
      </c>
      <c r="R46" s="51" t="str">
        <f t="shared" si="26"/>
        <v xml:space="preserve"> </v>
      </c>
      <c r="S46" s="51" t="str">
        <f t="shared" si="20"/>
        <v xml:space="preserve"> </v>
      </c>
      <c r="T46" s="51" t="str">
        <f t="shared" si="21"/>
        <v xml:space="preserve"> </v>
      </c>
      <c r="U46" s="51" t="str">
        <f t="shared" si="22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4"/>
        <v xml:space="preserve"> </v>
      </c>
      <c r="Q47" s="51" t="str">
        <f t="shared" si="25"/>
        <v xml:space="preserve"> </v>
      </c>
      <c r="R47" s="51" t="str">
        <f t="shared" si="26"/>
        <v xml:space="preserve"> </v>
      </c>
      <c r="S47" s="51" t="str">
        <f t="shared" si="20"/>
        <v xml:space="preserve"> </v>
      </c>
      <c r="T47" s="51" t="str">
        <f t="shared" si="21"/>
        <v xml:space="preserve"> </v>
      </c>
      <c r="U47" s="51" t="str">
        <f t="shared" si="22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4"/>
        <v xml:space="preserve"> </v>
      </c>
      <c r="Q48" s="51" t="str">
        <f t="shared" si="25"/>
        <v xml:space="preserve"> </v>
      </c>
      <c r="R48" s="51" t="str">
        <f t="shared" si="26"/>
        <v xml:space="preserve"> </v>
      </c>
      <c r="S48" s="51" t="str">
        <f t="shared" si="20"/>
        <v xml:space="preserve"> </v>
      </c>
      <c r="T48" s="51" t="str">
        <f t="shared" si="21"/>
        <v xml:space="preserve"> </v>
      </c>
      <c r="U48" s="51" t="str">
        <f t="shared" si="22"/>
        <v xml:space="preserve"> </v>
      </c>
      <c r="V48" s="51" t="str">
        <f t="shared" si="23"/>
        <v xml:space="preserve"> </v>
      </c>
      <c r="W48" s="51" t="str">
        <f t="shared" si="27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4"/>
        <v xml:space="preserve"> </v>
      </c>
      <c r="Q49" s="51" t="str">
        <f t="shared" si="25"/>
        <v xml:space="preserve"> </v>
      </c>
      <c r="R49" s="51" t="str">
        <f t="shared" si="26"/>
        <v xml:space="preserve"> </v>
      </c>
      <c r="S49" s="51" t="str">
        <f t="shared" si="20"/>
        <v xml:space="preserve"> </v>
      </c>
      <c r="T49" s="51" t="str">
        <f t="shared" si="21"/>
        <v xml:space="preserve"> </v>
      </c>
      <c r="U49" s="51" t="str">
        <f t="shared" si="22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8">SUM(O3:O39)</f>
        <v>32.75</v>
      </c>
      <c r="P50" s="56">
        <f t="shared" si="28"/>
        <v>17.25</v>
      </c>
      <c r="Q50" s="56">
        <f t="shared" si="28"/>
        <v>24.25</v>
      </c>
      <c r="R50" s="56">
        <f t="shared" si="28"/>
        <v>1.25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33.65625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5.7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29">IF(OR(ISBLANK(O2),O2=$X$2),"",O2)</f>
        <v>41372</v>
      </c>
      <c r="O52" s="27">
        <f t="shared" si="29"/>
        <v>41379</v>
      </c>
      <c r="P52" s="27">
        <f t="shared" si="29"/>
        <v>41386</v>
      </c>
      <c r="Q52" s="27">
        <f t="shared" si="29"/>
        <v>41393</v>
      </c>
      <c r="R52" s="27">
        <f t="shared" si="29"/>
        <v>41400</v>
      </c>
      <c r="S52" s="27">
        <f t="shared" si="29"/>
        <v>41407</v>
      </c>
      <c r="T52" s="27">
        <f t="shared" si="29"/>
        <v>41414</v>
      </c>
      <c r="U52" s="27">
        <f t="shared" si="29"/>
        <v>41421</v>
      </c>
      <c r="V52" s="27">
        <f t="shared" si="29"/>
        <v>41428</v>
      </c>
      <c r="W52" s="27" t="str">
        <f t="shared" si="29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269.25</v>
      </c>
      <c r="L53" s="31"/>
      <c r="M53" s="32"/>
      <c r="N53" s="67">
        <v>296</v>
      </c>
      <c r="O53" s="50">
        <f t="shared" ref="O53:R53" si="30">IF(O52="","",N53)</f>
        <v>296</v>
      </c>
      <c r="P53" s="50">
        <f t="shared" si="30"/>
        <v>296</v>
      </c>
      <c r="Q53" s="50">
        <f t="shared" si="30"/>
        <v>296</v>
      </c>
      <c r="R53" s="50">
        <f t="shared" si="30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>
        <f>IF(V52="","",U53)</f>
        <v>296</v>
      </c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41.25</v>
      </c>
      <c r="Q54" s="34">
        <f t="array" ref="Q54">IF(Q52="","",P54+IF(ISNA(VLOOKUP(R2,$H$2:$H$39,2,FALSE)),0,SUM(IF($H$2:$K$39=R2,$K$2:$K$39))))</f>
        <v>87.25</v>
      </c>
      <c r="R54" s="34">
        <f t="array" ref="R54">IF(R52="","",Q54+IF(ISNA(VLOOKUP(S2,$H$2:$H$39,2,FALSE)),0,SUM(IF($H$2:$K$39=S2,$K$2:$K$39))))</f>
        <v>90.25</v>
      </c>
      <c r="S54" s="34">
        <f t="array" ref="S54">IF(S52="","",R54+IF(ISNA(VLOOKUP(T2,$H$2:$H$39,2,FALSE)),0,SUM(IF($H$2:$K$39=T2,$K$2:$K$39))))</f>
        <v>150.25</v>
      </c>
      <c r="T54" s="34">
        <f t="array" ref="T54">IF(T52="","",S54+IF(ISNA(VLOOKUP(U2,$H$2:$H$39,2,FALSE)),0,SUM(IF($H$2:$K$39=U2,$K$2:$K$39))))</f>
        <v>198.25</v>
      </c>
      <c r="U54" s="34">
        <f t="array" ref="U54">IF(U52="","",T54+IF(ISNA(VLOOKUP(V2,$H$2:$H$39,2,FALSE)),0,SUM(IF($H$2:$K$39=V2,$K$2:$K$39))))</f>
        <v>235.25</v>
      </c>
      <c r="V54" s="34">
        <f t="array" ref="V54">IF(V52="","",U54+IF(ISNA(VLOOKUP(W2,$H$2:$H$39,2,FALSE)),0,SUM(IF($H$2:$K$39=W2,$K$2:$K$39))))</f>
        <v>269.25</v>
      </c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18</v>
      </c>
      <c r="P55" s="6">
        <f>SUMIFS($K$3:$K$39,Q3:Q39,"=X")</f>
        <v>41.25</v>
      </c>
      <c r="Q55" s="6">
        <f>SUMIFS($K$3:$K$39,R3:R39,"=X")</f>
        <v>61.25</v>
      </c>
      <c r="R55" s="6">
        <f>SUMIFS($K$3:$K$39,S3:S39,"=X")</f>
        <v>61.25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50</v>
      </c>
      <c r="Q56" s="6">
        <f>SUM(Q3:Q39)+P56</f>
        <v>74.25</v>
      </c>
      <c r="R56" s="6">
        <f>SUM(R3:R39)+Q56</f>
        <v>75.5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5.75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1">O2</f>
        <v>41372</v>
      </c>
      <c r="P59" s="39">
        <f t="shared" si="31"/>
        <v>41379</v>
      </c>
      <c r="Q59" s="39">
        <f t="shared" si="31"/>
        <v>41386</v>
      </c>
      <c r="R59" s="39">
        <f t="shared" si="31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75.5</v>
      </c>
      <c r="O60" s="37">
        <f t="shared" ref="O60:R61" si="32">SUMIF($F$3:$F$39,$M60,O$3:O$39)</f>
        <v>0</v>
      </c>
      <c r="P60" s="37">
        <f t="shared" si="32"/>
        <v>0</v>
      </c>
      <c r="Q60" s="37">
        <f t="shared" si="32"/>
        <v>0</v>
      </c>
      <c r="R60" s="37">
        <f t="shared" si="32"/>
        <v>0</v>
      </c>
      <c r="S60" s="37">
        <f t="shared" ref="S60:W61" si="33">SUMIF($F$3:$F$39,$M60,S$3:S$39)</f>
        <v>0</v>
      </c>
      <c r="T60" s="37">
        <f t="shared" si="33"/>
        <v>0</v>
      </c>
      <c r="U60" s="37">
        <f t="shared" si="33"/>
        <v>0</v>
      </c>
      <c r="V60" s="37">
        <f t="shared" si="33"/>
        <v>0</v>
      </c>
      <c r="W60" s="37">
        <f t="shared" si="33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2"/>
        <v>0</v>
      </c>
      <c r="P61" s="37">
        <f t="shared" si="32"/>
        <v>0.75</v>
      </c>
      <c r="Q61" s="37">
        <f t="shared" si="32"/>
        <v>0</v>
      </c>
      <c r="R61" s="37">
        <f t="shared" si="32"/>
        <v>0</v>
      </c>
      <c r="S61" s="37">
        <f t="shared" si="33"/>
        <v>0</v>
      </c>
      <c r="T61" s="37">
        <f t="shared" si="33"/>
        <v>0</v>
      </c>
      <c r="U61" s="37">
        <f t="shared" si="33"/>
        <v>0</v>
      </c>
      <c r="V61" s="37">
        <f t="shared" si="33"/>
        <v>0</v>
      </c>
      <c r="W61" s="37">
        <f t="shared" si="33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232.5</v>
      </c>
      <c r="O66" s="37">
        <f t="shared" ref="O66:R67" si="34">SUMIF($F$3:$F$39,$M66,O$3:O$39)</f>
        <v>0</v>
      </c>
      <c r="P66" s="37">
        <f t="shared" si="34"/>
        <v>0</v>
      </c>
      <c r="Q66" s="37">
        <f t="shared" si="34"/>
        <v>0</v>
      </c>
      <c r="R66" s="37">
        <f t="shared" si="34"/>
        <v>0</v>
      </c>
      <c r="S66" s="37">
        <f t="shared" ref="S66:V67" si="35">SUMIF($F$3:$F$39,$M66,S$3:S$39)</f>
        <v>0</v>
      </c>
      <c r="T66" s="37">
        <f t="shared" si="35"/>
        <v>0</v>
      </c>
      <c r="U66" s="37">
        <f t="shared" si="35"/>
        <v>0</v>
      </c>
      <c r="V66" s="37">
        <f t="shared" si="35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4"/>
        <v>0</v>
      </c>
      <c r="P67" s="37">
        <f t="shared" si="34"/>
        <v>0</v>
      </c>
      <c r="Q67" s="37">
        <f t="shared" si="34"/>
        <v>0</v>
      </c>
      <c r="R67" s="37">
        <f t="shared" si="34"/>
        <v>0</v>
      </c>
      <c r="S67" s="37">
        <f t="shared" si="35"/>
        <v>0</v>
      </c>
      <c r="T67" s="37">
        <f t="shared" si="35"/>
        <v>0</v>
      </c>
      <c r="U67" s="37">
        <f t="shared" si="35"/>
        <v>0</v>
      </c>
      <c r="V67" s="37">
        <f t="shared" si="35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308</v>
      </c>
      <c r="O68" s="48">
        <f t="shared" ref="O68:R68" si="36">SUM(O60:O67)</f>
        <v>0</v>
      </c>
      <c r="P68" s="48">
        <f t="shared" si="36"/>
        <v>0.75</v>
      </c>
      <c r="Q68" s="48">
        <f t="shared" si="36"/>
        <v>0</v>
      </c>
      <c r="R68" s="48">
        <f t="shared" si="36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2013-05-01T21:28:29Z</dcterms:modified>
</cp:coreProperties>
</file>