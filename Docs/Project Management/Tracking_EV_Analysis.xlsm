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Dropbox\ISEC\MIS\1º ANO\Projecto de Software\Repository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P39" i="2" l="1"/>
  <c r="P40" i="2" l="1"/>
  <c r="Q40" i="2" s="1"/>
  <c r="R40" i="2" s="1"/>
  <c r="S40" i="2" s="1"/>
  <c r="T40" i="2" s="1"/>
  <c r="U40" i="2" s="1"/>
  <c r="V40" i="2" s="1"/>
  <c r="W40" i="2" s="1"/>
  <c r="P41" i="2"/>
  <c r="Q41" i="2" s="1"/>
  <c r="R41" i="2" s="1"/>
  <c r="S41" i="2" s="1"/>
  <c r="T41" i="2" s="1"/>
  <c r="U41" i="2" s="1"/>
  <c r="V41" i="2" s="1"/>
  <c r="W41" i="2" s="1"/>
  <c r="P42" i="2"/>
  <c r="P43" i="2"/>
  <c r="Q43" i="2" s="1"/>
  <c r="P44" i="2"/>
  <c r="Q44" i="2" s="1"/>
  <c r="R44" i="2" s="1"/>
  <c r="S44" i="2" s="1"/>
  <c r="T44" i="2" s="1"/>
  <c r="U44" i="2" s="1"/>
  <c r="V44" i="2" s="1"/>
  <c r="W44" i="2" s="1"/>
  <c r="P45" i="2"/>
  <c r="Q45" i="2" s="1"/>
  <c r="R45" i="2" s="1"/>
  <c r="S45" i="2" s="1"/>
  <c r="T45" i="2" s="1"/>
  <c r="U45" i="2" s="1"/>
  <c r="V45" i="2" s="1"/>
  <c r="W45" i="2" s="1"/>
  <c r="P46" i="2"/>
  <c r="P47" i="2"/>
  <c r="Q47" i="2" s="1"/>
  <c r="P48" i="2"/>
  <c r="Q48" i="2" s="1"/>
  <c r="R48" i="2" s="1"/>
  <c r="S48" i="2" s="1"/>
  <c r="T48" i="2" s="1"/>
  <c r="U48" i="2" s="1"/>
  <c r="V48" i="2" s="1"/>
  <c r="W48" i="2" s="1"/>
  <c r="P49" i="2"/>
  <c r="Q49" i="2" l="1"/>
  <c r="R49" i="2" s="1"/>
  <c r="S49" i="2" s="1"/>
  <c r="T49" i="2" s="1"/>
  <c r="U49" i="2" s="1"/>
  <c r="V49" i="2" s="1"/>
  <c r="W49" i="2" s="1"/>
  <c r="L41" i="2" a="1"/>
  <c r="L41" i="2" s="1"/>
  <c r="L45" i="2" a="1"/>
  <c r="L45" i="2" s="1"/>
  <c r="M49" i="2"/>
  <c r="M45" i="2"/>
  <c r="M41" i="2"/>
  <c r="L48" i="2" a="1"/>
  <c r="L48" i="2" s="1"/>
  <c r="L40" i="2" a="1"/>
  <c r="L40" i="2" s="1"/>
  <c r="R47" i="2"/>
  <c r="S47" i="2" s="1"/>
  <c r="T47" i="2" s="1"/>
  <c r="U47" i="2" s="1"/>
  <c r="V47" i="2" s="1"/>
  <c r="W47" i="2" s="1"/>
  <c r="N47" i="2"/>
  <c r="R43" i="2"/>
  <c r="S43" i="2" s="1"/>
  <c r="T43" i="2" s="1"/>
  <c r="U43" i="2" s="1"/>
  <c r="V43" i="2" s="1"/>
  <c r="W43" i="2" s="1"/>
  <c r="L44" i="2" a="1"/>
  <c r="L44" i="2" s="1"/>
  <c r="N48" i="2"/>
  <c r="N44" i="2"/>
  <c r="N40" i="2"/>
  <c r="M48" i="2"/>
  <c r="M44" i="2"/>
  <c r="M40" i="2"/>
  <c r="N49" i="2"/>
  <c r="Q46" i="2"/>
  <c r="N45" i="2"/>
  <c r="Q42" i="2"/>
  <c r="N41" i="2"/>
  <c r="O61" i="2"/>
  <c r="M5" i="2"/>
  <c r="M6" i="2"/>
  <c r="M7" i="2"/>
  <c r="M8" i="2"/>
  <c r="M9" i="2"/>
  <c r="M10" i="2"/>
  <c r="M11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L49" i="2" l="1" a="1"/>
  <c r="L49" i="2" s="1"/>
  <c r="L47" i="2" a="1"/>
  <c r="L47" i="2" s="1"/>
  <c r="N43" i="2"/>
  <c r="R42" i="2"/>
  <c r="S42" i="2" s="1"/>
  <c r="T42" i="2" s="1"/>
  <c r="U42" i="2" s="1"/>
  <c r="V42" i="2" s="1"/>
  <c r="W42" i="2" s="1"/>
  <c r="R46" i="2"/>
  <c r="M47" i="2"/>
  <c r="M42" i="2"/>
  <c r="N42" i="2"/>
  <c r="L43" i="2" a="1"/>
  <c r="L43" i="2" s="1"/>
  <c r="M43" i="2"/>
  <c r="N7" i="2"/>
  <c r="Q3" i="2"/>
  <c r="N4" i="2"/>
  <c r="N5" i="2"/>
  <c r="N6" i="2"/>
  <c r="N8" i="2"/>
  <c r="N9" i="2"/>
  <c r="N10" i="2"/>
  <c r="N11" i="2"/>
  <c r="L5" i="2" a="1"/>
  <c r="L5" i="2" s="1"/>
  <c r="L8" i="2" a="1"/>
  <c r="L8" i="2" s="1"/>
  <c r="L9" i="2" a="1"/>
  <c r="L9" i="2" s="1"/>
  <c r="L10" i="2" a="1"/>
  <c r="L10" i="2" s="1"/>
  <c r="L11" i="2" a="1"/>
  <c r="L11" i="2" s="1"/>
  <c r="L42" i="2" l="1" a="1"/>
  <c r="L42" i="2" s="1"/>
  <c r="S46" i="2"/>
  <c r="R3" i="2"/>
  <c r="S3" i="2" s="1"/>
  <c r="O56" i="2"/>
  <c r="W52" i="2"/>
  <c r="O50" i="2"/>
  <c r="S12" i="2"/>
  <c r="T12" i="2" s="1"/>
  <c r="U12" i="2" s="1"/>
  <c r="V12" i="2" s="1"/>
  <c r="S13" i="2"/>
  <c r="T13" i="2" s="1"/>
  <c r="U13" i="2" s="1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3" i="2"/>
  <c r="P34" i="2"/>
  <c r="P35" i="2"/>
  <c r="P36" i="2"/>
  <c r="P37" i="2"/>
  <c r="Q37" i="2" s="1"/>
  <c r="R37" i="2" s="1"/>
  <c r="S37" i="2" s="1"/>
  <c r="T37" i="2" s="1"/>
  <c r="U37" i="2" s="1"/>
  <c r="V37" i="2" s="1"/>
  <c r="O67" i="2"/>
  <c r="P67" i="2"/>
  <c r="Q67" i="2"/>
  <c r="R67" i="2"/>
  <c r="S67" i="2"/>
  <c r="T67" i="2"/>
  <c r="U67" i="2"/>
  <c r="V67" i="2"/>
  <c r="W67" i="2"/>
  <c r="T46" i="2" l="1"/>
  <c r="Q32" i="2"/>
  <c r="R32" i="2" s="1"/>
  <c r="S32" i="2" s="1"/>
  <c r="T32" i="2" s="1"/>
  <c r="U32" i="2" s="1"/>
  <c r="V32" i="2" s="1"/>
  <c r="W32" i="2" s="1"/>
  <c r="M16" i="2"/>
  <c r="Q15" i="2"/>
  <c r="M15" i="2"/>
  <c r="Q36" i="2"/>
  <c r="R36" i="2" s="1"/>
  <c r="S36" i="2" s="1"/>
  <c r="T36" i="2" s="1"/>
  <c r="U36" i="2" s="1"/>
  <c r="V36" i="2" s="1"/>
  <c r="W36" i="2" s="1"/>
  <c r="L36" i="2" a="1"/>
  <c r="L36" i="2" s="1"/>
  <c r="S31" i="2"/>
  <c r="T31" i="2" s="1"/>
  <c r="U31" i="2" s="1"/>
  <c r="V31" i="2" s="1"/>
  <c r="W31" i="2" s="1"/>
  <c r="Q35" i="2"/>
  <c r="R35" i="2" s="1"/>
  <c r="S35" i="2" s="1"/>
  <c r="T35" i="2" s="1"/>
  <c r="U35" i="2" s="1"/>
  <c r="V35" i="2" s="1"/>
  <c r="W35" i="2" s="1"/>
  <c r="L7" i="2" a="1"/>
  <c r="L7" i="2" s="1"/>
  <c r="L6" i="2" a="1"/>
  <c r="L6" i="2" s="1"/>
  <c r="L4" i="2" a="1"/>
  <c r="L4" i="2" s="1"/>
  <c r="Q33" i="2"/>
  <c r="R33" i="2" s="1"/>
  <c r="S33" i="2" s="1"/>
  <c r="T33" i="2" s="1"/>
  <c r="U33" i="2" s="1"/>
  <c r="V33" i="2" s="1"/>
  <c r="W33" i="2" s="1"/>
  <c r="L33" i="2" a="1"/>
  <c r="L33" i="2" s="1"/>
  <c r="Q34" i="2"/>
  <c r="R34" i="2" s="1"/>
  <c r="S34" i="2" s="1"/>
  <c r="T34" i="2" s="1"/>
  <c r="U34" i="2" s="1"/>
  <c r="V34" i="2" s="1"/>
  <c r="W34" i="2" s="1"/>
  <c r="N52" i="2"/>
  <c r="T14" i="2"/>
  <c r="T3" i="2"/>
  <c r="W12" i="2"/>
  <c r="M12" i="2" s="1"/>
  <c r="W37" i="2"/>
  <c r="M37" i="2" s="1"/>
  <c r="W13" i="2"/>
  <c r="M13" i="2" s="1"/>
  <c r="N67" i="2"/>
  <c r="R39" i="2"/>
  <c r="K53" i="2"/>
  <c r="L34" i="2" l="1" a="1"/>
  <c r="L34" i="2" s="1"/>
  <c r="M35" i="2"/>
  <c r="M33" i="2"/>
  <c r="L35" i="2" a="1"/>
  <c r="L35" i="2" s="1"/>
  <c r="M31" i="2"/>
  <c r="L31" i="2" a="1"/>
  <c r="L31" i="2" s="1"/>
  <c r="U46" i="2"/>
  <c r="L32" i="2" a="1"/>
  <c r="L32" i="2" s="1"/>
  <c r="L37" i="2" a="1"/>
  <c r="L37" i="2" s="1"/>
  <c r="M32" i="2"/>
  <c r="M34" i="2"/>
  <c r="M36" i="2"/>
  <c r="S39" i="2"/>
  <c r="T39" i="2" s="1"/>
  <c r="U39" i="2" s="1"/>
  <c r="V39" i="2" s="1"/>
  <c r="W39" i="2" s="1"/>
  <c r="U14" i="2"/>
  <c r="U3" i="2"/>
  <c r="N39" i="2" l="1"/>
  <c r="V46" i="2"/>
  <c r="W46" i="2" s="1"/>
  <c r="N46" i="2" s="1"/>
  <c r="V14" i="2"/>
  <c r="V3" i="2"/>
  <c r="M46" i="2" l="1"/>
  <c r="L46" i="2" a="1"/>
  <c r="L46" i="2" s="1"/>
  <c r="W14" i="2"/>
  <c r="M14" i="2" s="1"/>
  <c r="W3" i="2"/>
  <c r="N3" i="2" s="1"/>
  <c r="O60" i="2"/>
  <c r="O66" i="2"/>
  <c r="P50" i="2"/>
  <c r="O55" i="2" l="1"/>
  <c r="P56" i="2"/>
  <c r="Q38" i="2"/>
  <c r="Q66" i="2"/>
  <c r="P60" i="2"/>
  <c r="O68" i="2"/>
  <c r="N13" i="2"/>
  <c r="N35" i="2"/>
  <c r="N33" i="2"/>
  <c r="N32" i="2"/>
  <c r="N15" i="2"/>
  <c r="P61" i="2"/>
  <c r="P66" i="2"/>
  <c r="P55" i="2" l="1"/>
  <c r="Q50" i="2"/>
  <c r="Q56" i="2"/>
  <c r="Q60" i="2"/>
  <c r="R38" i="2"/>
  <c r="P68" i="2"/>
  <c r="R66" i="2"/>
  <c r="N34" i="2"/>
  <c r="N37" i="2"/>
  <c r="Q61" i="2"/>
  <c r="R60" i="2"/>
  <c r="N16" i="2"/>
  <c r="N36" i="2"/>
  <c r="Q68" i="2" l="1"/>
  <c r="Q55" i="2"/>
  <c r="R50" i="2"/>
  <c r="R56" i="2"/>
  <c r="S38" i="2"/>
  <c r="S60" i="2" s="1"/>
  <c r="S66" i="2"/>
  <c r="R61" i="2"/>
  <c r="R68" i="2" s="1"/>
  <c r="R55" i="2" l="1"/>
  <c r="S50" i="2"/>
  <c r="T38" i="2"/>
  <c r="T50" i="2" s="1"/>
  <c r="S61" i="2"/>
  <c r="S68" i="2" s="1"/>
  <c r="T66" i="2"/>
  <c r="T60" i="2" l="1"/>
  <c r="U38" i="2"/>
  <c r="U50" i="2" s="1"/>
  <c r="U60" i="2"/>
  <c r="U66" i="2"/>
  <c r="T61" i="2"/>
  <c r="T68" i="2" l="1"/>
  <c r="V38" i="2"/>
  <c r="V66" i="2"/>
  <c r="U61" i="2"/>
  <c r="U68" i="2" s="1"/>
  <c r="V50" i="2" l="1"/>
  <c r="V60" i="2"/>
  <c r="W38" i="2"/>
  <c r="W50" i="2" s="1"/>
  <c r="N14" i="2"/>
  <c r="V61" i="2"/>
  <c r="L38" i="2" l="1" a="1"/>
  <c r="L38" i="2" s="1"/>
  <c r="M38" i="2"/>
  <c r="V68" i="2"/>
  <c r="W60" i="2"/>
  <c r="N38" i="2"/>
  <c r="W61" i="2"/>
  <c r="W68" i="2" l="1"/>
  <c r="N66" i="2"/>
  <c r="N31" i="2"/>
  <c r="N60" i="2" l="1"/>
  <c r="N61" i="2"/>
  <c r="N12" i="2"/>
  <c r="N68" i="2" l="1"/>
  <c r="P2" i="2" l="1"/>
  <c r="L12" i="2" a="1"/>
  <c r="L12" i="2" s="1"/>
  <c r="M3" i="2"/>
  <c r="O59" i="2"/>
  <c r="L3" i="2" a="1"/>
  <c r="L3" i="2" s="1"/>
  <c r="M4" i="2" l="1"/>
  <c r="M39" i="2"/>
  <c r="L39" i="2" a="1"/>
  <c r="L39" i="2" s="1"/>
  <c r="O52" i="2"/>
  <c r="O53" i="2" s="1"/>
  <c r="L13" i="2" a="1"/>
  <c r="L13" i="2" s="1"/>
  <c r="Q2" i="2"/>
  <c r="R2" i="2" s="1"/>
  <c r="P59" i="2"/>
  <c r="P52" i="2" l="1"/>
  <c r="P53" i="2" s="1"/>
  <c r="L16" i="2" a="1"/>
  <c r="L16" i="2" s="1"/>
  <c r="L14" i="2" a="1"/>
  <c r="L14" i="2" s="1"/>
  <c r="Q59" i="2"/>
  <c r="Q52" i="2"/>
  <c r="Q53" i="2" l="1"/>
  <c r="S2" i="2"/>
  <c r="R59" i="2"/>
  <c r="R52" i="2" l="1"/>
  <c r="R53" i="2" s="1"/>
  <c r="T2" i="2"/>
  <c r="S59" i="2"/>
  <c r="S52" i="2" l="1"/>
  <c r="S53" i="2" s="1"/>
  <c r="T59" i="2"/>
  <c r="U2" i="2"/>
  <c r="T52" i="2" l="1"/>
  <c r="T53" i="2" s="1"/>
  <c r="V2" i="2"/>
  <c r="L15" i="2" a="1"/>
  <c r="L15" i="2" s="1"/>
  <c r="U59" i="2"/>
  <c r="W2" i="2" l="1"/>
  <c r="J50" i="2" s="1"/>
  <c r="U52" i="2"/>
  <c r="U53" i="2" s="1"/>
  <c r="V59" i="2"/>
  <c r="V52" i="2" l="1"/>
  <c r="K51" i="2"/>
  <c r="N54" i="2" l="1"/>
  <c r="O54" i="2" s="1" a="1"/>
  <c r="O54" i="2" s="1"/>
  <c r="P54" i="2" s="1" a="1"/>
  <c r="P54" i="2" s="1"/>
  <c r="Q54" i="2" s="1" a="1"/>
  <c r="Q54" i="2" s="1"/>
  <c r="R54" i="2" s="1" a="1"/>
  <c r="R54" i="2" s="1"/>
  <c r="S54" i="2" s="1" a="1"/>
  <c r="S54" i="2" s="1"/>
  <c r="T54" i="2" s="1" a="1"/>
  <c r="T54" i="2" s="1"/>
  <c r="U54" i="2" s="1" a="1"/>
  <c r="U54" i="2" s="1"/>
  <c r="J53" i="2" l="1"/>
</calcChain>
</file>

<file path=xl/comments1.xml><?xml version="1.0" encoding="utf-8"?>
<comments xmlns="http://schemas.openxmlformats.org/spreadsheetml/2006/main">
  <authors>
    <author>João Cunha</author>
  </authors>
  <commentList>
    <comment ref="J5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5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<sst xmlns="http://schemas.openxmlformats.org/spreadsheetml/2006/main" count="247" uniqueCount="135">
  <si>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</si>
  <si>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</si>
  <si>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</si>
  <si>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</si>
  <si>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</si>
  <si>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</si>
  <si>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</si>
  <si>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</si>
  <si>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</si>
  <si>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</si>
  <si>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</si>
  <si>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</si>
  <si>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</si>
  <si>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</si>
  <si>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</si>
  <si>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</si>
  <si>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</si>
  <si>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</si>
  <si>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</si>
  <si>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</si>
  <si>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</si>
  <si>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</si>
  <si>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</si>
  <si>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</si>
  <si>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</si>
  <si>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</si>
  <si>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</si>
  <si>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</si>
  <si>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</si>
  <si>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</si>
  <si>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</si>
  <si>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</si>
  <si>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</si>
  <si>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</si>
  <si>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</si>
  <si>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</si>
  <si>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</si>
  <si>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</si>
  <si>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</si>
  <si>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</si>
  <si>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</si>
  <si>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</si>
  <si>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</si>
  <si>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</si>
  <si>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</si>
  <si>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</si>
  <si>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</si>
  <si>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</si>
  <si>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</si>
  <si>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</si>
  <si>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</si>
  <si>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</si>
  <si>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</si>
  <si>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</si>
  <si>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</si>
  <si>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</si>
  <si>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</si>
  <si>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</si>
  <si>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</si>
  <si>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</si>
  <si>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</si>
  <si>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</si>
  <si>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</si>
  <si>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</si>
  <si>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</si>
  <si>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</si>
  <si>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</si>
  <si>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</si>
  <si>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</si>
  <si>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</si>
  <si>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</si>
  <si>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</si>
  <si>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</si>
  <si>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</si>
  <si>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</si>
  <si>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</si>
  <si>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</si>
  <si>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</si>
  <si>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</si>
  <si>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</si>
  <si>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</si>
  <si>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</si>
  <si>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</si>
  <si>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</si>
  <si>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</si>
  <si>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</si>
  <si>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</si>
  <si>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</si>
  <si>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</si>
  <si>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</si>
  <si>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</si>
  <si>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</si>
  <si>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</si>
  <si>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</si>
  <si>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</si>
  <si>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</si>
  <si>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</si>
  <si>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</si>
  <si>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</si>
  <si>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</si>
  <si>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</si>
  <si>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</si>
  <si>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</si>
  <si>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</si>
  <si>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</si>
  <si>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</si>
  <si>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</si>
  <si>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</si>
  <si>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</si>
  <si>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</si>
  <si>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</si>
  <si>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</si>
  <si>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</si>
  <si>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FB;CM;RG</t>
  </si>
  <si>
    <t>JG;MO</t>
  </si>
  <si>
    <t>DJ; JM</t>
  </si>
  <si>
    <t>JG; MO</t>
  </si>
  <si>
    <t>CM; FB; DJ; JM; RG</t>
  </si>
  <si>
    <t>FB;JM</t>
  </si>
  <si>
    <t>MO</t>
  </si>
  <si>
    <t>CM; FB</t>
  </si>
  <si>
    <t>DJ; JG; MO</t>
  </si>
  <si>
    <t>CM; DJ; FB; JG; JM; MO; RG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</si>
  <si>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</si>
  <si>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</si>
  <si>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</si>
  <si>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</si>
  <si>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</si>
  <si>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</si>
  <si>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</si>
  <si>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</si>
  <si>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</si>
  <si>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</si>
  <si>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FB;MO</t>
  </si>
  <si>
    <t>Week 8 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</si>
</sst>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29"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59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Tracking'!$C$53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Tracking'!$N$53:$W$53</c:f>
              <c:numCache>
                <c:formatCode>General</c:formatCode>
                <c:ptCount val="10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Tracking'!$C$54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Tracking'!$N$54:$W$54</c:f>
              <c:numCache>
                <c:formatCode>General</c:formatCode>
                <c:ptCount val="10"/>
                <c:pt idx="0">
                  <c:v>0</c:v>
                </c:pt>
                <c:pt idx="1">
                  <c:v>31</c:v>
                </c:pt>
                <c:pt idx="2">
                  <c:v>36</c:v>
                </c:pt>
                <c:pt idx="3">
                  <c:v>90.25</c:v>
                </c:pt>
                <c:pt idx="4">
                  <c:v>90.25</c:v>
                </c:pt>
                <c:pt idx="5">
                  <c:v>150.25</c:v>
                </c:pt>
                <c:pt idx="6">
                  <c:v>198.25</c:v>
                </c:pt>
                <c:pt idx="7">
                  <c:v>235.25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Tracking'!$C$55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Tracking'!$N$55:$W$55</c:f>
              <c:numCache>
                <c:formatCode>General</c:formatCode>
                <c:ptCount val="10"/>
                <c:pt idx="0">
                  <c:v>0</c:v>
                </c:pt>
                <c:pt idx="1">
                  <c:v>18</c:v>
                </c:pt>
                <c:pt idx="2">
                  <c:v>36</c:v>
                </c:pt>
                <c:pt idx="3">
                  <c:v>41.25</c:v>
                </c:pt>
                <c:pt idx="4">
                  <c:v>41.25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Tracking'!$C$56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Tracking'!$N$56:$W$56</c:f>
              <c:numCache>
                <c:formatCode>General</c:formatCode>
                <c:ptCount val="10"/>
                <c:pt idx="0">
                  <c:v>0</c:v>
                </c:pt>
                <c:pt idx="1">
                  <c:v>32.75</c:v>
                </c:pt>
                <c:pt idx="2">
                  <c:v>45.25</c:v>
                </c:pt>
                <c:pt idx="3">
                  <c:v>49.75</c:v>
                </c:pt>
                <c:pt idx="4">
                  <c:v>49.75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961248"/>
        <c:axId val="113121024"/>
      </c:lineChart>
      <c:catAx>
        <c:axId val="168961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3121024"/>
        <c:crosses val="autoZero"/>
        <c:auto val="0"/>
        <c:lblAlgn val="ctr"/>
        <c:lblOffset val="100"/>
        <c:noMultiLvlLbl val="0"/>
      </c:catAx>
      <c:valAx>
        <c:axId val="11312102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8961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71"/>
  <sheetViews>
    <sheetView showGridLines="0" tabSelected="1" zoomScaleNormal="100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A11" sqref="A11:XFD11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41400</v>
      </c>
      <c r="T2" s="27">
        <f t="shared" si="0"/>
        <v>41407</v>
      </c>
      <c r="U2" s="27">
        <f t="shared" si="0"/>
        <v>41414</v>
      </c>
      <c r="V2" s="27">
        <f t="shared" si="0"/>
        <v>41421</v>
      </c>
      <c r="W2" s="27">
        <f t="shared" si="0"/>
        <v>41428</v>
      </c>
      <c r="X2" s="44" t="s">
        <v>13</v>
      </c>
      <c r="Y2" s="54" t="s">
        <v>16</v>
      </c>
      <c r="Z2" s="52"/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 t="s">
        <v>122</v>
      </c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4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124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 t="str">
        <f>IF(ISNUMBER(V3)," ",IF(V3="X","X"," "))</f>
        <v>X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 t="s">
        <v>113</v>
      </c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9" si="3">SUM(O4:CG4)</f>
        <v>11.25</v>
      </c>
      <c r="O4" s="51">
        <v>10.5</v>
      </c>
      <c r="P4" s="51">
        <v>0.75</v>
      </c>
      <c r="Q4" s="51" t="s">
        <v>123</v>
      </c>
      <c r="R4" s="51" t="s">
        <v>123</v>
      </c>
      <c r="S4" s="51" t="s">
        <v>123</v>
      </c>
      <c r="T4" s="51" t="s">
        <v>123</v>
      </c>
      <c r="U4" s="51" t="s">
        <v>123</v>
      </c>
      <c r="V4" s="51" t="s">
        <v>124</v>
      </c>
      <c r="W4" s="51" t="s">
        <v>123</v>
      </c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 t="s">
        <v>122</v>
      </c>
      <c r="G5" s="45">
        <v>41384</v>
      </c>
      <c r="H5" s="45">
        <v>41393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41386</v>
      </c>
      <c r="M5" s="55">
        <f t="shared" si="1"/>
        <v>41386</v>
      </c>
      <c r="N5" s="56">
        <f t="shared" si="3"/>
        <v>4.5</v>
      </c>
      <c r="O5" s="51"/>
      <c r="P5" s="51"/>
      <c r="Q5" s="51">
        <v>4.5</v>
      </c>
      <c r="R5" s="51" t="s">
        <v>123</v>
      </c>
      <c r="S5" s="51" t="s">
        <v>123</v>
      </c>
      <c r="T5" s="51" t="s">
        <v>123</v>
      </c>
      <c r="U5" s="51" t="s">
        <v>123</v>
      </c>
      <c r="V5" s="51" t="s">
        <v>123</v>
      </c>
      <c r="W5" s="51" t="s">
        <v>123</v>
      </c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 t="s">
        <v>114</v>
      </c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 t="str">
        <f t="shared" si="1"/>
        <v/>
      </c>
      <c r="N6" s="56">
        <f t="shared" si="3"/>
        <v>9</v>
      </c>
      <c r="O6" s="51">
        <v>6</v>
      </c>
      <c r="P6" s="51">
        <v>3</v>
      </c>
      <c r="Q6" s="51"/>
      <c r="R6" s="51"/>
      <c r="S6" s="51"/>
      <c r="T6" s="51"/>
      <c r="U6" s="51"/>
      <c r="V6" s="51"/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110</v>
      </c>
      <c r="E7" s="68" t="s">
        <v>109</v>
      </c>
      <c r="F7" s="89" t="s">
        <v>115</v>
      </c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18</v>
      </c>
      <c r="O7" s="51">
        <v>10</v>
      </c>
      <c r="P7" s="51">
        <v>8</v>
      </c>
      <c r="Q7" s="51"/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 t="s">
        <v>122</v>
      </c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 t="str">
        <f t="array" ref="L8">IF(ISNA(INDEX($O$2:$DA$2,1,MATCH(1,IF($O8:$DM8,1),0))),"",INDEX($O$2:$DA$2,1,MATCH(1,IF($O8:$DM8,1),0)))</f>
        <v/>
      </c>
      <c r="M8" s="55" t="str">
        <f t="shared" si="1"/>
        <v/>
      </c>
      <c r="N8" s="56">
        <f t="shared" si="3"/>
        <v>0</v>
      </c>
      <c r="O8" s="51"/>
      <c r="P8" s="51"/>
      <c r="Q8" s="51"/>
      <c r="R8" s="51"/>
      <c r="S8" s="51"/>
      <c r="T8" s="51"/>
      <c r="U8" s="51"/>
      <c r="V8" s="51"/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 t="s">
        <v>122</v>
      </c>
      <c r="G9" s="45">
        <v>41393</v>
      </c>
      <c r="H9" s="45">
        <v>41407</v>
      </c>
      <c r="I9" s="76">
        <v>6</v>
      </c>
      <c r="J9" s="43">
        <v>1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3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 t="s">
        <v>116</v>
      </c>
      <c r="G10" s="45">
        <v>41393</v>
      </c>
      <c r="H10" s="45">
        <v>41407</v>
      </c>
      <c r="I10" s="76">
        <v>7</v>
      </c>
      <c r="J10" s="43">
        <v>1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3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 t="s">
        <v>117</v>
      </c>
      <c r="G11" s="82">
        <v>41393</v>
      </c>
      <c r="H11" s="82">
        <v>41407</v>
      </c>
      <c r="I11" s="76">
        <v>7</v>
      </c>
      <c r="J11" s="83">
        <v>1</v>
      </c>
      <c r="K11" s="84">
        <v>10</v>
      </c>
      <c r="L11" s="85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86">
        <f t="shared" si="3"/>
        <v>0</v>
      </c>
      <c r="O11" s="87"/>
      <c r="P11" s="87"/>
      <c r="Q11" s="87"/>
      <c r="R11" s="87"/>
      <c r="S11" s="87"/>
      <c r="T11" s="87"/>
      <c r="U11" s="87"/>
      <c r="V11" s="87"/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 t="s">
        <v>118</v>
      </c>
      <c r="G12" s="75">
        <v>41386</v>
      </c>
      <c r="H12" s="75">
        <v>41393</v>
      </c>
      <c r="I12" s="76">
        <v>4</v>
      </c>
      <c r="J12" s="76">
        <v>1</v>
      </c>
      <c r="K12" s="77">
        <v>3</v>
      </c>
      <c r="L12" s="78" t="str">
        <f t="array" ref="L12">IF(ISNA(INDEX($O$2:$DA$2,1,MATCH(1,IF($O12:$DM12,1),0))),"",INDEX($O$2:$DA$2,1,MATCH(1,IF($O12:$DM12,1),0)))</f>
        <v/>
      </c>
      <c r="M12" s="55" t="str">
        <f t="shared" si="1"/>
        <v/>
      </c>
      <c r="N12" s="79">
        <f t="shared" si="3"/>
        <v>0</v>
      </c>
      <c r="O12" s="80"/>
      <c r="P12" s="80"/>
      <c r="Q12" s="80"/>
      <c r="R12" s="80"/>
      <c r="S12" s="80" t="str">
        <f t="shared" ref="S12:W13" si="4">IF(ISNUMBER(R12)," ",IF(R12="X","X"," "))</f>
        <v xml:space="preserve"> </v>
      </c>
      <c r="T12" s="80" t="str">
        <f t="shared" si="4"/>
        <v xml:space="preserve"> </v>
      </c>
      <c r="U12" s="80" t="str">
        <f t="shared" si="4"/>
        <v xml:space="preserve"> </v>
      </c>
      <c r="V12" s="80" t="str">
        <f t="shared" si="4"/>
        <v xml:space="preserve"> </v>
      </c>
      <c r="W12" s="80" t="str">
        <f t="shared" si="4"/>
        <v xml:space="preserve"> </v>
      </c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5.5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 t="s">
        <v>122</v>
      </c>
      <c r="G13" s="75">
        <v>41393</v>
      </c>
      <c r="H13" s="45">
        <v>41407</v>
      </c>
      <c r="I13" s="43">
        <v>10</v>
      </c>
      <c r="J13" s="43">
        <v>1.5</v>
      </c>
      <c r="K13" s="3">
        <v>13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3"/>
        <v>0</v>
      </c>
      <c r="O13" s="51"/>
      <c r="P13" s="51"/>
      <c r="Q13" s="51"/>
      <c r="R13" s="51"/>
      <c r="S13" s="51" t="str">
        <f t="shared" si="4"/>
        <v xml:space="preserve"> </v>
      </c>
      <c r="T13" s="51" t="str">
        <f t="shared" si="4"/>
        <v xml:space="preserve"> </v>
      </c>
      <c r="U13" s="51" t="str">
        <f t="shared" si="4"/>
        <v xml:space="preserve"> </v>
      </c>
      <c r="V13" s="51" t="str">
        <f t="shared" si="4"/>
        <v xml:space="preserve"> </v>
      </c>
      <c r="W13" s="51" t="str">
        <f t="shared" si="4"/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3"/>
        <v>0</v>
      </c>
      <c r="O14" s="51"/>
      <c r="P14" s="51"/>
      <c r="Q14" s="51"/>
      <c r="R14" s="51"/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 t="s">
        <v>112</v>
      </c>
      <c r="G16" s="45">
        <v>41393</v>
      </c>
      <c r="H16" s="45">
        <v>41414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111</v>
      </c>
      <c r="F17" s="89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 t="s">
        <v>119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 t="s">
        <v>119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 t="s">
        <v>119</v>
      </c>
      <c r="G23" s="45">
        <v>41414</v>
      </c>
      <c r="H23" s="45">
        <v>41421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 t="s">
        <v>119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 t="s">
        <v>119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 t="s">
        <v>119</v>
      </c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9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 t="s">
        <v>112</v>
      </c>
      <c r="G32" s="45">
        <v>41407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5.5" x14ac:dyDescent="0.2">
      <c r="A33" s="18"/>
      <c r="B33" s="4">
        <v>31</v>
      </c>
      <c r="C33" s="68" t="s">
        <v>79</v>
      </c>
      <c r="D33" s="68" t="s">
        <v>100</v>
      </c>
      <c r="E33" s="68" t="s">
        <v>75</v>
      </c>
      <c r="F33" s="89" t="s">
        <v>122</v>
      </c>
      <c r="G33" s="45">
        <v>41407</v>
      </c>
      <c r="H33" s="45">
        <v>41414</v>
      </c>
      <c r="I33" s="43">
        <v>10</v>
      </c>
      <c r="J33" s="43">
        <v>1</v>
      </c>
      <c r="K33" s="3">
        <v>13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3"/>
        <v>0</v>
      </c>
      <c r="O33" s="51"/>
      <c r="P33" s="51" t="str">
        <f t="shared" ref="P33:R33" si="11">IF(ISNUMBER(O33)," ",IF(O33="X","X"," "))</f>
        <v xml:space="preserve"> </v>
      </c>
      <c r="Q33" s="51" t="str">
        <f t="shared" si="11"/>
        <v xml:space="preserve"> </v>
      </c>
      <c r="R33" s="51" t="str">
        <f t="shared" si="11"/>
        <v xml:space="preserve"> </v>
      </c>
      <c r="S33" s="51" t="str">
        <f t="shared" si="9"/>
        <v xml:space="preserve"> </v>
      </c>
      <c r="T33" s="51" t="str">
        <f t="shared" si="9"/>
        <v xml:space="preserve"> </v>
      </c>
      <c r="U33" s="51" t="str">
        <f t="shared" si="9"/>
        <v xml:space="preserve"> </v>
      </c>
      <c r="V33" s="51" t="str">
        <f t="shared" si="9"/>
        <v xml:space="preserve"> </v>
      </c>
      <c r="W33" s="51" t="str">
        <f t="shared" si="9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5.5" x14ac:dyDescent="0.2">
      <c r="A34" s="18"/>
      <c r="B34" s="4">
        <v>32</v>
      </c>
      <c r="C34" s="68" t="s">
        <v>79</v>
      </c>
      <c r="D34" s="68" t="s">
        <v>100</v>
      </c>
      <c r="E34" s="68" t="s">
        <v>76</v>
      </c>
      <c r="F34" s="89" t="s">
        <v>122</v>
      </c>
      <c r="G34" s="45">
        <v>41407</v>
      </c>
      <c r="H34" s="45">
        <v>41414</v>
      </c>
      <c r="I34" s="43">
        <v>31</v>
      </c>
      <c r="J34" s="43">
        <v>1.5</v>
      </c>
      <c r="K34" s="3">
        <v>20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3"/>
        <v>0</v>
      </c>
      <c r="O34" s="51"/>
      <c r="P34" s="51" t="str">
        <f t="shared" ref="P34:R34" si="12">IF(ISNUMBER(O34)," ",IF(O34="X","X"," "))</f>
        <v xml:space="preserve"> </v>
      </c>
      <c r="Q34" s="51" t="str">
        <f t="shared" si="12"/>
        <v xml:space="preserve"> </v>
      </c>
      <c r="R34" s="51" t="str">
        <f t="shared" si="12"/>
        <v xml:space="preserve"> </v>
      </c>
      <c r="S34" s="51" t="str">
        <f t="shared" si="9"/>
        <v xml:space="preserve"> </v>
      </c>
      <c r="T34" s="51" t="str">
        <f t="shared" si="9"/>
        <v xml:space="preserve"> </v>
      </c>
      <c r="U34" s="51" t="str">
        <f t="shared" si="9"/>
        <v xml:space="preserve"> </v>
      </c>
      <c r="V34" s="51" t="str">
        <f t="shared" si="9"/>
        <v xml:space="preserve"> </v>
      </c>
      <c r="W34" s="51" t="str">
        <f t="shared" si="9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77</v>
      </c>
      <c r="F35" s="89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8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3"/>
        <v>0</v>
      </c>
      <c r="O35" s="51"/>
      <c r="P35" s="51" t="str">
        <f t="shared" ref="P35:R35" si="13">IF(ISNUMBER(O35)," ",IF(O35="X","X"," "))</f>
        <v xml:space="preserve"> </v>
      </c>
      <c r="Q35" s="51" t="str">
        <f t="shared" si="13"/>
        <v xml:space="preserve"> </v>
      </c>
      <c r="R35" s="51" t="str">
        <f t="shared" si="13"/>
        <v xml:space="preserve"> </v>
      </c>
      <c r="S35" s="51" t="str">
        <f t="shared" si="9"/>
        <v xml:space="preserve"> </v>
      </c>
      <c r="T35" s="51" t="str">
        <f t="shared" si="9"/>
        <v xml:space="preserve"> </v>
      </c>
      <c r="U35" s="51" t="str">
        <f t="shared" si="9"/>
        <v xml:space="preserve"> </v>
      </c>
      <c r="V35" s="51" t="str">
        <f t="shared" si="9"/>
        <v xml:space="preserve"> </v>
      </c>
      <c r="W35" s="51" t="str">
        <f t="shared" si="9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101</v>
      </c>
      <c r="E36" s="68" t="s">
        <v>102</v>
      </c>
      <c r="F36" s="89" t="s">
        <v>120</v>
      </c>
      <c r="G36" s="45">
        <v>41421</v>
      </c>
      <c r="H36" s="45">
        <v>41428</v>
      </c>
      <c r="I36" s="43">
        <v>33</v>
      </c>
      <c r="J36" s="43">
        <v>2</v>
      </c>
      <c r="K36" s="3">
        <v>13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3"/>
        <v>0</v>
      </c>
      <c r="O36" s="51"/>
      <c r="P36" s="51" t="str">
        <f t="shared" ref="P36:R36" si="14">IF(ISNUMBER(O36)," ",IF(O36="X","X"," "))</f>
        <v xml:space="preserve"> </v>
      </c>
      <c r="Q36" s="51" t="str">
        <f t="shared" si="14"/>
        <v xml:space="preserve"> </v>
      </c>
      <c r="R36" s="51" t="str">
        <f t="shared" si="14"/>
        <v xml:space="preserve"> </v>
      </c>
      <c r="S36" s="51" t="str">
        <f t="shared" si="9"/>
        <v xml:space="preserve"> </v>
      </c>
      <c r="T36" s="51" t="str">
        <f t="shared" si="9"/>
        <v xml:space="preserve"> </v>
      </c>
      <c r="U36" s="51" t="str">
        <f t="shared" si="9"/>
        <v xml:space="preserve"> </v>
      </c>
      <c r="V36" s="51" t="str">
        <f t="shared" si="9"/>
        <v xml:space="preserve"> </v>
      </c>
      <c r="W36" s="51" t="str">
        <f t="shared" si="9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101</v>
      </c>
      <c r="E37" s="68" t="s">
        <v>103</v>
      </c>
      <c r="F37" s="89" t="s">
        <v>121</v>
      </c>
      <c r="G37" s="45">
        <v>41421</v>
      </c>
      <c r="H37" s="45">
        <v>41428</v>
      </c>
      <c r="I37" s="43">
        <v>33</v>
      </c>
      <c r="J37" s="43">
        <v>2</v>
      </c>
      <c r="K37" s="3">
        <v>20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3"/>
        <v>0</v>
      </c>
      <c r="O37" s="51"/>
      <c r="P37" s="51" t="str">
        <f t="shared" ref="P37:R37" si="15">IF(ISNUMBER(O37)," ",IF(O37="X","X"," "))</f>
        <v xml:space="preserve"> </v>
      </c>
      <c r="Q37" s="51" t="str">
        <f t="shared" si="15"/>
        <v xml:space="preserve"> </v>
      </c>
      <c r="R37" s="51" t="str">
        <f t="shared" si="15"/>
        <v xml:space="preserve"> </v>
      </c>
      <c r="S37" s="51" t="str">
        <f t="shared" si="9"/>
        <v xml:space="preserve"> </v>
      </c>
      <c r="T37" s="51" t="str">
        <f t="shared" si="9"/>
        <v xml:space="preserve"> </v>
      </c>
      <c r="U37" s="51" t="str">
        <f t="shared" si="9"/>
        <v xml:space="preserve"> </v>
      </c>
      <c r="V37" s="51" t="str">
        <f t="shared" si="9"/>
        <v xml:space="preserve"> </v>
      </c>
      <c r="W37" s="51" t="str">
        <f t="shared" si="9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125</v>
      </c>
      <c r="D38" s="68" t="s">
        <v>126</v>
      </c>
      <c r="E38" s="68"/>
      <c r="F38" s="17" t="s">
        <v>133</v>
      </c>
      <c r="G38" s="45">
        <v>41372</v>
      </c>
      <c r="H38" s="45">
        <v>41379</v>
      </c>
      <c r="I38" s="46"/>
      <c r="J38" s="43">
        <v>1</v>
      </c>
      <c r="K38" s="3">
        <v>5</v>
      </c>
      <c r="L38" s="55">
        <f t="array" ref="L38">IF(ISNA(INDEX($O$2:$DA$2,1,MATCH(1,IF($O38:$DM38,1),0))),"",INDEX($O$2:$DA$2,1,MATCH(1,IF($O38:$DM38,1),0)))</f>
        <v>41372</v>
      </c>
      <c r="M38" s="55">
        <f t="shared" si="1"/>
        <v>41372</v>
      </c>
      <c r="N38" s="56">
        <f t="shared" si="3"/>
        <v>1</v>
      </c>
      <c r="O38" s="51">
        <v>1</v>
      </c>
      <c r="P38" s="51" t="s">
        <v>124</v>
      </c>
      <c r="Q38" s="51" t="str">
        <f t="shared" ref="Q38:R38" si="16">IF(ISNUMBER(P38)," ",IF(P38="X","X"," "))</f>
        <v>X</v>
      </c>
      <c r="R38" s="51" t="str">
        <f t="shared" si="16"/>
        <v>X</v>
      </c>
      <c r="S38" s="51" t="str">
        <f t="shared" si="9"/>
        <v>X</v>
      </c>
      <c r="T38" s="51" t="str">
        <f t="shared" si="9"/>
        <v>X</v>
      </c>
      <c r="U38" s="51" t="str">
        <f t="shared" si="9"/>
        <v>X</v>
      </c>
      <c r="V38" s="51" t="str">
        <f t="shared" si="9"/>
        <v>X</v>
      </c>
      <c r="W38" s="51" t="str">
        <f t="shared" si="9"/>
        <v>X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125</v>
      </c>
      <c r="D39" s="68" t="s">
        <v>127</v>
      </c>
      <c r="E39" s="4"/>
      <c r="F39" s="17" t="s">
        <v>105</v>
      </c>
      <c r="G39" s="45">
        <v>41379</v>
      </c>
      <c r="H39" s="45">
        <v>41386</v>
      </c>
      <c r="I39" s="43">
        <v>36</v>
      </c>
      <c r="J39" s="43">
        <v>1</v>
      </c>
      <c r="K39" s="3">
        <v>5</v>
      </c>
      <c r="L39" s="55">
        <f t="array" ref="L39">IF(ISNA(INDEX($O$2:$DA$2,1,MATCH(1,IF($O39:$DM39,1),0))),"",INDEX($O$2:$DA$2,1,MATCH(1,IF($O39:$DM39,1),0)))</f>
        <v>41379</v>
      </c>
      <c r="M39" s="55">
        <f t="shared" si="1"/>
        <v>41379</v>
      </c>
      <c r="N39" s="56">
        <f t="shared" si="3"/>
        <v>0.75</v>
      </c>
      <c r="O39" s="51"/>
      <c r="P39" s="51">
        <f>0.25+0.5</f>
        <v>0.75</v>
      </c>
      <c r="Q39" s="51" t="s">
        <v>124</v>
      </c>
      <c r="R39" s="51" t="str">
        <f t="shared" ref="R39:R40" si="17">IF(ISNUMBER(Q39)," ",IF(Q39="X","X"," "))</f>
        <v>X</v>
      </c>
      <c r="S39" s="51" t="str">
        <f t="shared" si="9"/>
        <v>X</v>
      </c>
      <c r="T39" s="51" t="str">
        <f t="shared" si="9"/>
        <v>X</v>
      </c>
      <c r="U39" s="51" t="str">
        <f t="shared" si="9"/>
        <v>X</v>
      </c>
      <c r="V39" s="51" t="str">
        <f t="shared" si="9"/>
        <v>X</v>
      </c>
      <c r="W39" s="51" t="str">
        <f t="shared" si="9"/>
        <v>X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125</v>
      </c>
      <c r="D40" s="68" t="s">
        <v>128</v>
      </c>
      <c r="E40" s="68"/>
      <c r="F40" s="17"/>
      <c r="G40" s="45">
        <v>41386</v>
      </c>
      <c r="H40" s="45">
        <v>41393</v>
      </c>
      <c r="I40" s="43">
        <v>37</v>
      </c>
      <c r="J40" s="43">
        <v>1</v>
      </c>
      <c r="K40" s="3">
        <v>5</v>
      </c>
      <c r="L40" s="55" t="str">
        <f t="array" ref="L40">IF(ISNA(INDEX($O$2:$DA$2,1,MATCH(1,IF($O40:$DM40,1),0))),"",INDEX($O$2:$DA$2,1,MATCH(1,IF($O40:$DM40,1),0)))</f>
        <v/>
      </c>
      <c r="M40" s="55" t="str">
        <f t="shared" si="1"/>
        <v/>
      </c>
      <c r="N40" s="56">
        <f t="shared" ref="N40:N49" si="18">SUM(O40:CG40)</f>
        <v>0</v>
      </c>
      <c r="O40" s="51"/>
      <c r="P40" s="51" t="str">
        <f t="shared" ref="P40" si="19">IF(ISNUMBER(O40)," ",IF(O40="X","X"," "))</f>
        <v xml:space="preserve"> </v>
      </c>
      <c r="Q40" s="51" t="str">
        <f t="shared" ref="Q40" si="20">IF(ISNUMBER(P40)," ",IF(P40="X","X"," "))</f>
        <v xml:space="preserve"> </v>
      </c>
      <c r="R40" s="51" t="str">
        <f t="shared" si="17"/>
        <v xml:space="preserve"> </v>
      </c>
      <c r="S40" s="51" t="str">
        <f t="shared" ref="S40:S49" si="21">IF(ISNUMBER(R40)," ",IF(R40="X","X"," "))</f>
        <v xml:space="preserve"> </v>
      </c>
      <c r="T40" s="51" t="str">
        <f t="shared" ref="T40:T49" si="22">IF(ISNUMBER(S40)," ",IF(S40="X","X"," "))</f>
        <v xml:space="preserve"> </v>
      </c>
      <c r="U40" s="51" t="str">
        <f t="shared" ref="U40:U49" si="23">IF(ISNUMBER(T40)," ",IF(T40="X","X"," "))</f>
        <v xml:space="preserve"> </v>
      </c>
      <c r="V40" s="51" t="str">
        <f t="shared" ref="V40:V49" si="24">IF(ISNUMBER(U40)," ",IF(U40="X","X"," "))</f>
        <v xml:space="preserve"> </v>
      </c>
      <c r="W40" s="51" t="str">
        <f>IF(ISNUMBER(V40)," ",IF(V40="X","X"," "))</f>
        <v xml:space="preserve"> </v>
      </c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125</v>
      </c>
      <c r="D41" s="68" t="s">
        <v>129</v>
      </c>
      <c r="E41" s="4"/>
      <c r="F41" s="17"/>
      <c r="G41" s="45">
        <v>41393</v>
      </c>
      <c r="H41" s="45">
        <v>41400</v>
      </c>
      <c r="I41" s="43">
        <v>38</v>
      </c>
      <c r="J41" s="43">
        <v>1</v>
      </c>
      <c r="K41" s="3">
        <v>5</v>
      </c>
      <c r="L41" s="55" t="str">
        <f t="array" ref="L41">IF(ISNA(INDEX($O$2:$DA$2,1,MATCH(1,IF($O41:$DM41,1),0))),"",INDEX($O$2:$DA$2,1,MATCH(1,IF($O41:$DM41,1),0)))</f>
        <v/>
      </c>
      <c r="M41" s="55" t="str">
        <f t="shared" si="1"/>
        <v/>
      </c>
      <c r="N41" s="56">
        <f t="shared" si="18"/>
        <v>0</v>
      </c>
      <c r="O41" s="51"/>
      <c r="P41" s="51" t="str">
        <f t="shared" ref="P41:P49" si="25">IF(ISNUMBER(O41)," ",IF(O41="X","X"," "))</f>
        <v xml:space="preserve"> </v>
      </c>
      <c r="Q41" s="51" t="str">
        <f t="shared" ref="Q41:Q49" si="26">IF(ISNUMBER(P41)," ",IF(P41="X","X"," "))</f>
        <v xml:space="preserve"> </v>
      </c>
      <c r="R41" s="51" t="str">
        <f t="shared" ref="R41:R49" si="27">IF(ISNUMBER(Q41)," ",IF(Q41="X","X"," "))</f>
        <v xml:space="preserve"> </v>
      </c>
      <c r="S41" s="51" t="str">
        <f t="shared" si="21"/>
        <v xml:space="preserve"> </v>
      </c>
      <c r="T41" s="51" t="str">
        <f t="shared" si="22"/>
        <v xml:space="preserve"> </v>
      </c>
      <c r="U41" s="51" t="str">
        <f t="shared" si="23"/>
        <v xml:space="preserve"> </v>
      </c>
      <c r="V41" s="51" t="str">
        <f t="shared" si="24"/>
        <v xml:space="preserve"> </v>
      </c>
      <c r="W41" s="51" t="str">
        <f t="shared" ref="W41:W49" si="28">IF(ISNUMBER(V41)," ",IF(V41="X","X"," "))</f>
        <v xml:space="preserve"> </v>
      </c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125</v>
      </c>
      <c r="D42" s="68" t="s">
        <v>130</v>
      </c>
      <c r="E42" s="68"/>
      <c r="F42" s="17"/>
      <c r="G42" s="45">
        <v>41400</v>
      </c>
      <c r="H42" s="45">
        <v>41407</v>
      </c>
      <c r="I42" s="43">
        <v>39</v>
      </c>
      <c r="J42" s="43">
        <v>1</v>
      </c>
      <c r="K42" s="3">
        <v>5</v>
      </c>
      <c r="L42" s="55" t="str">
        <f t="array" ref="L42">IF(ISNA(INDEX($O$2:$DA$2,1,MATCH(1,IF($O42:$DM42,1),0))),"",INDEX($O$2:$DA$2,1,MATCH(1,IF($O42:$DM42,1),0)))</f>
        <v/>
      </c>
      <c r="M42" s="55" t="str">
        <f t="shared" si="1"/>
        <v/>
      </c>
      <c r="N42" s="56">
        <f t="shared" si="18"/>
        <v>0</v>
      </c>
      <c r="O42" s="51"/>
      <c r="P42" s="51" t="str">
        <f t="shared" si="25"/>
        <v xml:space="preserve"> </v>
      </c>
      <c r="Q42" s="51" t="str">
        <f t="shared" si="26"/>
        <v xml:space="preserve"> </v>
      </c>
      <c r="R42" s="51" t="str">
        <f t="shared" si="27"/>
        <v xml:space="preserve"> </v>
      </c>
      <c r="S42" s="51" t="str">
        <f t="shared" si="21"/>
        <v xml:space="preserve"> </v>
      </c>
      <c r="T42" s="51" t="str">
        <f t="shared" si="22"/>
        <v xml:space="preserve"> </v>
      </c>
      <c r="U42" s="51" t="str">
        <f t="shared" si="23"/>
        <v xml:space="preserve"> </v>
      </c>
      <c r="V42" s="51" t="str">
        <f t="shared" si="24"/>
        <v xml:space="preserve"> </v>
      </c>
      <c r="W42" s="51" t="str">
        <f t="shared" si="28"/>
        <v xml:space="preserve"> </v>
      </c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125</v>
      </c>
      <c r="D43" s="68" t="s">
        <v>131</v>
      </c>
      <c r="E43" s="4"/>
      <c r="F43" s="17"/>
      <c r="G43" s="45">
        <v>41407</v>
      </c>
      <c r="H43" s="45">
        <v>41414</v>
      </c>
      <c r="I43" s="43">
        <v>40</v>
      </c>
      <c r="J43" s="43">
        <v>1</v>
      </c>
      <c r="K43" s="3">
        <v>5</v>
      </c>
      <c r="L43" s="55" t="str">
        <f t="array" ref="L43">IF(ISNA(INDEX($O$2:$DA$2,1,MATCH(1,IF($O43:$DM43,1),0))),"",INDEX($O$2:$DA$2,1,MATCH(1,IF($O43:$DM43,1),0)))</f>
        <v/>
      </c>
      <c r="M43" s="55" t="str">
        <f t="shared" si="1"/>
        <v/>
      </c>
      <c r="N43" s="56">
        <f t="shared" si="18"/>
        <v>0</v>
      </c>
      <c r="O43" s="51"/>
      <c r="P43" s="51" t="str">
        <f t="shared" si="25"/>
        <v xml:space="preserve"> </v>
      </c>
      <c r="Q43" s="51" t="str">
        <f t="shared" si="26"/>
        <v xml:space="preserve"> </v>
      </c>
      <c r="R43" s="51" t="str">
        <f t="shared" si="27"/>
        <v xml:space="preserve"> </v>
      </c>
      <c r="S43" s="51" t="str">
        <f t="shared" si="21"/>
        <v xml:space="preserve"> </v>
      </c>
      <c r="T43" s="51" t="str">
        <f t="shared" si="22"/>
        <v xml:space="preserve"> </v>
      </c>
      <c r="U43" s="51" t="str">
        <f t="shared" si="23"/>
        <v xml:space="preserve"> </v>
      </c>
      <c r="V43" s="51" t="str">
        <f t="shared" si="24"/>
        <v xml:space="preserve"> </v>
      </c>
      <c r="W43" s="51" t="str">
        <f t="shared" si="28"/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125</v>
      </c>
      <c r="D44" s="68" t="s">
        <v>132</v>
      </c>
      <c r="E44" s="68"/>
      <c r="F44" s="17"/>
      <c r="G44" s="45">
        <v>41414</v>
      </c>
      <c r="H44" s="45">
        <v>41421</v>
      </c>
      <c r="I44" s="43">
        <v>41</v>
      </c>
      <c r="J44" s="43">
        <v>1</v>
      </c>
      <c r="K44" s="3">
        <v>5</v>
      </c>
      <c r="L44" s="55" t="str">
        <f t="array" ref="L44">IF(ISNA(INDEX($O$2:$DA$2,1,MATCH(1,IF($O44:$DM44,1),0))),"",INDEX($O$2:$DA$2,1,MATCH(1,IF($O44:$DM44,1),0)))</f>
        <v/>
      </c>
      <c r="M44" s="55" t="str">
        <f t="shared" si="1"/>
        <v/>
      </c>
      <c r="N44" s="56">
        <f t="shared" si="18"/>
        <v>0</v>
      </c>
      <c r="O44" s="51"/>
      <c r="P44" s="51" t="str">
        <f t="shared" si="25"/>
        <v xml:space="preserve"> </v>
      </c>
      <c r="Q44" s="51" t="str">
        <f t="shared" si="26"/>
        <v xml:space="preserve"> </v>
      </c>
      <c r="R44" s="51" t="str">
        <f t="shared" si="27"/>
        <v xml:space="preserve"> </v>
      </c>
      <c r="S44" s="51" t="str">
        <f t="shared" si="21"/>
        <v xml:space="preserve"> </v>
      </c>
      <c r="T44" s="51" t="str">
        <f t="shared" si="22"/>
        <v xml:space="preserve"> </v>
      </c>
      <c r="U44" s="51" t="str">
        <f t="shared" si="23"/>
        <v xml:space="preserve"> </v>
      </c>
      <c r="V44" s="51" t="str">
        <f t="shared" si="24"/>
        <v xml:space="preserve"> </v>
      </c>
      <c r="W44" s="51" t="str">
        <f t="shared" si="28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125</v>
      </c>
      <c r="D45" s="68" t="s">
        <v>134</v>
      </c>
      <c r="E45" s="4"/>
      <c r="F45" s="17"/>
      <c r="G45" s="45">
        <v>41421</v>
      </c>
      <c r="H45" s="45">
        <v>41428</v>
      </c>
      <c r="I45" s="43">
        <v>42</v>
      </c>
      <c r="J45" s="43">
        <v>1</v>
      </c>
      <c r="K45" s="3">
        <v>5</v>
      </c>
      <c r="L45" s="55" t="str">
        <f t="array" ref="L45">IF(ISNA(INDEX($O$2:$DA$2,1,MATCH(1,IF($O45:$DM45,1),0))),"",INDEX($O$2:$DA$2,1,MATCH(1,IF($O45:$DM45,1),0)))</f>
        <v/>
      </c>
      <c r="M45" s="55" t="str">
        <f t="shared" si="1"/>
        <v/>
      </c>
      <c r="N45" s="56">
        <f t="shared" si="18"/>
        <v>0</v>
      </c>
      <c r="O45" s="51"/>
      <c r="P45" s="51" t="str">
        <f t="shared" si="25"/>
        <v xml:space="preserve"> </v>
      </c>
      <c r="Q45" s="51" t="str">
        <f t="shared" si="26"/>
        <v xml:space="preserve"> </v>
      </c>
      <c r="R45" s="51" t="str">
        <f t="shared" si="27"/>
        <v xml:space="preserve"> </v>
      </c>
      <c r="S45" s="51" t="str">
        <f t="shared" si="21"/>
        <v xml:space="preserve"> </v>
      </c>
      <c r="T45" s="51" t="str">
        <f t="shared" si="22"/>
        <v xml:space="preserve"> </v>
      </c>
      <c r="U45" s="51" t="str">
        <f t="shared" si="23"/>
        <v xml:space="preserve"> </v>
      </c>
      <c r="V45" s="51" t="str">
        <f t="shared" si="24"/>
        <v xml:space="preserve"> </v>
      </c>
      <c r="W45" s="51" t="str">
        <f t="shared" si="28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/>
      <c r="C46" s="68"/>
      <c r="D46" s="68"/>
      <c r="E46" s="68"/>
      <c r="F46" s="17"/>
      <c r="G46" s="45"/>
      <c r="H46" s="45"/>
      <c r="I46" s="43"/>
      <c r="J46" s="43"/>
      <c r="K46" s="3"/>
      <c r="L46" s="55" t="str">
        <f t="array" ref="L46">IF(ISNA(INDEX($O$2:$DA$2,1,MATCH(1,IF($O46:$DM46,1),0))),"",INDEX($O$2:$DA$2,1,MATCH(1,IF($O46:$DM46,1),0)))</f>
        <v/>
      </c>
      <c r="M46" s="55" t="str">
        <f t="shared" si="1"/>
        <v/>
      </c>
      <c r="N46" s="56">
        <f t="shared" si="18"/>
        <v>0</v>
      </c>
      <c r="O46" s="51"/>
      <c r="P46" s="51" t="str">
        <f t="shared" si="25"/>
        <v xml:space="preserve"> </v>
      </c>
      <c r="Q46" s="51" t="str">
        <f t="shared" si="26"/>
        <v xml:space="preserve"> </v>
      </c>
      <c r="R46" s="51" t="str">
        <f t="shared" si="27"/>
        <v xml:space="preserve"> </v>
      </c>
      <c r="S46" s="51" t="str">
        <f t="shared" si="21"/>
        <v xml:space="preserve"> </v>
      </c>
      <c r="T46" s="51" t="str">
        <f t="shared" si="22"/>
        <v xml:space="preserve"> </v>
      </c>
      <c r="U46" s="51" t="str">
        <f t="shared" si="23"/>
        <v xml:space="preserve"> </v>
      </c>
      <c r="V46" s="51" t="str">
        <f t="shared" si="24"/>
        <v xml:space="preserve"> </v>
      </c>
      <c r="W46" s="51" t="str">
        <f t="shared" si="28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 x14ac:dyDescent="0.2">
      <c r="A47" s="18"/>
      <c r="B47" s="4"/>
      <c r="C47" s="68"/>
      <c r="D47" s="4"/>
      <c r="E47" s="4"/>
      <c r="F47" s="17"/>
      <c r="G47" s="45"/>
      <c r="H47" s="45"/>
      <c r="I47" s="43"/>
      <c r="J47" s="43"/>
      <c r="K47" s="3"/>
      <c r="L47" s="55" t="str">
        <f t="array" ref="L47">IF(ISNA(INDEX($O$2:$DA$2,1,MATCH(1,IF($O47:$DM47,1),0))),"",INDEX($O$2:$DA$2,1,MATCH(1,IF($O47:$DM47,1),0)))</f>
        <v/>
      </c>
      <c r="M47" s="55" t="str">
        <f t="shared" si="1"/>
        <v/>
      </c>
      <c r="N47" s="56">
        <f t="shared" si="18"/>
        <v>0</v>
      </c>
      <c r="O47" s="51"/>
      <c r="P47" s="51" t="str">
        <f t="shared" si="25"/>
        <v xml:space="preserve"> </v>
      </c>
      <c r="Q47" s="51" t="str">
        <f t="shared" si="26"/>
        <v xml:space="preserve"> </v>
      </c>
      <c r="R47" s="51" t="str">
        <f t="shared" si="27"/>
        <v xml:space="preserve"> </v>
      </c>
      <c r="S47" s="51" t="str">
        <f t="shared" si="21"/>
        <v xml:space="preserve"> </v>
      </c>
      <c r="T47" s="51" t="str">
        <f t="shared" si="22"/>
        <v xml:space="preserve"> </v>
      </c>
      <c r="U47" s="51" t="str">
        <f t="shared" si="23"/>
        <v xml:space="preserve"> </v>
      </c>
      <c r="V47" s="51" t="str">
        <f t="shared" si="24"/>
        <v xml:space="preserve"> </v>
      </c>
      <c r="W47" s="51" t="str">
        <f t="shared" si="28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/>
      <c r="C48" s="68"/>
      <c r="D48" s="68"/>
      <c r="E48" s="68"/>
      <c r="F48" s="17"/>
      <c r="G48" s="45"/>
      <c r="H48" s="45"/>
      <c r="I48" s="43"/>
      <c r="J48" s="43"/>
      <c r="K48" s="3"/>
      <c r="L48" s="55" t="str">
        <f t="array" ref="L48">IF(ISNA(INDEX($O$2:$DA$2,1,MATCH(1,IF($O48:$DM48,1),0))),"",INDEX($O$2:$DA$2,1,MATCH(1,IF($O48:$DM48,1),0)))</f>
        <v/>
      </c>
      <c r="M48" s="55" t="str">
        <f t="shared" si="1"/>
        <v/>
      </c>
      <c r="N48" s="56">
        <f t="shared" si="18"/>
        <v>0</v>
      </c>
      <c r="O48" s="51"/>
      <c r="P48" s="51" t="str">
        <f t="shared" si="25"/>
        <v xml:space="preserve"> </v>
      </c>
      <c r="Q48" s="51" t="str">
        <f t="shared" si="26"/>
        <v xml:space="preserve"> </v>
      </c>
      <c r="R48" s="51" t="str">
        <f t="shared" si="27"/>
        <v xml:space="preserve"> </v>
      </c>
      <c r="S48" s="51" t="str">
        <f t="shared" si="21"/>
        <v xml:space="preserve"> </v>
      </c>
      <c r="T48" s="51" t="str">
        <f t="shared" si="22"/>
        <v xml:space="preserve"> </v>
      </c>
      <c r="U48" s="51" t="str">
        <f t="shared" si="23"/>
        <v xml:space="preserve"> </v>
      </c>
      <c r="V48" s="51" t="str">
        <f t="shared" si="24"/>
        <v xml:space="preserve"> </v>
      </c>
      <c r="W48" s="51" t="str">
        <f t="shared" si="28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x14ac:dyDescent="0.2">
      <c r="A49" s="18"/>
      <c r="B49" s="4"/>
      <c r="C49" s="68"/>
      <c r="D49" s="4"/>
      <c r="E49" s="4"/>
      <c r="F49" s="17"/>
      <c r="G49" s="45"/>
      <c r="H49" s="45"/>
      <c r="I49" s="43"/>
      <c r="J49" s="43"/>
      <c r="K49" s="3"/>
      <c r="L49" s="55" t="str">
        <f t="array" ref="L49">IF(ISNA(INDEX($O$2:$DA$2,1,MATCH(1,IF($O49:$DM49,1),0))),"",INDEX($O$2:$DA$2,1,MATCH(1,IF($O49:$DM49,1),0)))</f>
        <v/>
      </c>
      <c r="M49" s="55" t="str">
        <f t="shared" si="1"/>
        <v/>
      </c>
      <c r="N49" s="56">
        <f t="shared" si="18"/>
        <v>0</v>
      </c>
      <c r="O49" s="51"/>
      <c r="P49" s="51" t="str">
        <f t="shared" si="25"/>
        <v xml:space="preserve"> </v>
      </c>
      <c r="Q49" s="51" t="str">
        <f t="shared" si="26"/>
        <v xml:space="preserve"> </v>
      </c>
      <c r="R49" s="51" t="str">
        <f t="shared" si="27"/>
        <v xml:space="preserve"> </v>
      </c>
      <c r="S49" s="51" t="str">
        <f t="shared" si="21"/>
        <v xml:space="preserve"> </v>
      </c>
      <c r="T49" s="51" t="str">
        <f t="shared" si="22"/>
        <v xml:space="preserve"> </v>
      </c>
      <c r="U49" s="51" t="str">
        <f t="shared" si="23"/>
        <v xml:space="preserve"> </v>
      </c>
      <c r="V49" s="51" t="str">
        <f t="shared" si="24"/>
        <v xml:space="preserve"> </v>
      </c>
      <c r="W49" s="51" t="str">
        <f t="shared" si="28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x14ac:dyDescent="0.2">
      <c r="A50" s="18"/>
      <c r="B50" s="18"/>
      <c r="C50" s="18"/>
      <c r="D50" s="18"/>
      <c r="E50" s="18"/>
      <c r="F50" s="18"/>
      <c r="G50" s="18"/>
      <c r="H50" s="18"/>
      <c r="I50" s="63" t="s">
        <v>59</v>
      </c>
      <c r="J50" s="48">
        <f>MATCH(MAX($O$2:$W$2),$O$2:$W$2,0)-1</f>
        <v>8</v>
      </c>
      <c r="K50" s="18"/>
      <c r="L50" s="18"/>
      <c r="M50" s="18"/>
      <c r="N50" s="38" t="s">
        <v>61</v>
      </c>
      <c r="O50" s="56">
        <f t="shared" ref="O50:R50" si="29">SUM(O3:O39)</f>
        <v>32.75</v>
      </c>
      <c r="P50" s="56">
        <f t="shared" si="29"/>
        <v>12.5</v>
      </c>
      <c r="Q50" s="56">
        <f t="shared" si="29"/>
        <v>4.5</v>
      </c>
      <c r="R50" s="56">
        <f t="shared" si="29"/>
        <v>0</v>
      </c>
      <c r="S50" s="56">
        <f>SUM(S3:S39)</f>
        <v>0</v>
      </c>
      <c r="T50" s="56">
        <f>SUM(T3:T39)</f>
        <v>0</v>
      </c>
      <c r="U50" s="56">
        <f>SUM(U3:U39)</f>
        <v>0</v>
      </c>
      <c r="V50" s="56">
        <f>SUM(V3:V39)</f>
        <v>0</v>
      </c>
      <c r="W50" s="56">
        <f>SUM(W3:W39)</f>
        <v>0</v>
      </c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x14ac:dyDescent="0.2">
      <c r="A51" s="18"/>
      <c r="B51" s="18"/>
      <c r="C51" s="18"/>
      <c r="D51" s="18"/>
      <c r="E51" s="18"/>
      <c r="F51" s="18"/>
      <c r="G51" s="18"/>
      <c r="H51" s="18"/>
      <c r="I51" s="101" t="s">
        <v>60</v>
      </c>
      <c r="J51" s="102"/>
      <c r="K51" s="48">
        <f>K53/J50</f>
        <v>33.65625</v>
      </c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47.25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27">
        <f t="shared" ref="N52:W52" si="30">IF(OR(ISBLANK(O2),O2=$X$2),"",O2)</f>
        <v>41372</v>
      </c>
      <c r="O52" s="27">
        <f t="shared" si="30"/>
        <v>41379</v>
      </c>
      <c r="P52" s="27">
        <f t="shared" si="30"/>
        <v>41386</v>
      </c>
      <c r="Q52" s="27">
        <f t="shared" si="30"/>
        <v>41393</v>
      </c>
      <c r="R52" s="27">
        <f t="shared" si="30"/>
        <v>41400</v>
      </c>
      <c r="S52" s="27">
        <f t="shared" si="30"/>
        <v>41407</v>
      </c>
      <c r="T52" s="27">
        <f t="shared" si="30"/>
        <v>41414</v>
      </c>
      <c r="U52" s="27">
        <f t="shared" si="30"/>
        <v>41421</v>
      </c>
      <c r="V52" s="27">
        <f t="shared" si="30"/>
        <v>41428</v>
      </c>
      <c r="W52" s="27" t="str">
        <f t="shared" si="30"/>
        <v/>
      </c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x14ac:dyDescent="0.2">
      <c r="A53" s="18"/>
      <c r="B53" s="29"/>
      <c r="C53" s="98" t="s">
        <v>0</v>
      </c>
      <c r="D53" s="99"/>
      <c r="E53" s="99"/>
      <c r="F53" s="99"/>
      <c r="G53" s="99"/>
      <c r="H53" s="99"/>
      <c r="I53" s="100"/>
      <c r="J53" s="30">
        <f>MAX(H3:H38)-MIN(G3:G38)</f>
        <v>56</v>
      </c>
      <c r="K53" s="30">
        <f>SUM(K3:K39)</f>
        <v>269.25</v>
      </c>
      <c r="L53" s="31"/>
      <c r="M53" s="32"/>
      <c r="N53" s="67">
        <v>296</v>
      </c>
      <c r="O53" s="50">
        <f t="shared" ref="O53:R53" si="31">IF(O52="","",N53)</f>
        <v>296</v>
      </c>
      <c r="P53" s="50">
        <f t="shared" si="31"/>
        <v>296</v>
      </c>
      <c r="Q53" s="50">
        <f t="shared" si="31"/>
        <v>296</v>
      </c>
      <c r="R53" s="50">
        <f t="shared" si="31"/>
        <v>296</v>
      </c>
      <c r="S53" s="50">
        <f>IF(S52="","",R53)</f>
        <v>296</v>
      </c>
      <c r="T53" s="50">
        <f>IF(T52="","",S53)</f>
        <v>296</v>
      </c>
      <c r="U53" s="50">
        <f>IF(U52="","",T53)</f>
        <v>296</v>
      </c>
      <c r="V53" s="50"/>
      <c r="W53" s="50"/>
      <c r="X53" s="29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25.5" x14ac:dyDescent="0.2">
      <c r="A54" s="18"/>
      <c r="B54" s="29"/>
      <c r="C54" s="58" t="s">
        <v>31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34">
        <f>IF(N52="","",M54+IF(ISNA(VLOOKUP(O2,$H$2:$H$39,2,FALSE)),0,SUM(IF($H$2:$K$39=O2,$K$2:$K$39))))</f>
        <v>0</v>
      </c>
      <c r="O54" s="34">
        <f t="array" ref="O54">IF(O52="","",N54+IF(ISNA(VLOOKUP(P2,$H$2:$H$39,2,FALSE)),0,SUM(IF($H$2:$K$39=P2,$K$2:$K$39))))</f>
        <v>31</v>
      </c>
      <c r="P54" s="34">
        <f t="array" ref="P54">IF(P52="","",O54+IF(ISNA(VLOOKUP(Q2,$H$2:$H$39,2,FALSE)),0,SUM(IF($H$2:$K$39=Q2,$K$2:$K$39))))</f>
        <v>36</v>
      </c>
      <c r="Q54" s="34">
        <f t="array" ref="Q54">IF(Q52="","",P54+IF(ISNA(VLOOKUP(R2,$H$2:$H$39,2,FALSE)),0,SUM(IF($H$2:$K$39=R2,$K$2:$K$39))))</f>
        <v>90.25</v>
      </c>
      <c r="R54" s="34">
        <f t="array" ref="R54">IF(R52="","",Q54+IF(ISNA(VLOOKUP(S2,$H$2:$H$39,2,FALSE)),0,SUM(IF($H$2:$K$39=S2,$K$2:$K$39))))</f>
        <v>90.25</v>
      </c>
      <c r="S54" s="34">
        <f t="array" ref="S54">IF(S52="","",R54+IF(ISNA(VLOOKUP(T2,$H$2:$H$39,2,FALSE)),0,SUM(IF($H$2:$K$39=T2,$K$2:$K$39))))</f>
        <v>150.25</v>
      </c>
      <c r="T54" s="34">
        <f t="array" ref="T54">IF(T52="","",S54+IF(ISNA(VLOOKUP(U2,$H$2:$H$39,2,FALSE)),0,SUM(IF($H$2:$K$39=U2,$K$2:$K$39))))</f>
        <v>198.25</v>
      </c>
      <c r="U54" s="34">
        <f t="array" ref="U54">IF(U52="","",T54+IF(ISNA(VLOOKUP(V2,$H$2:$H$39,2,FALSE)),0,SUM(IF($H$2:$K$39=V2,$K$2:$K$39))))</f>
        <v>235.25</v>
      </c>
      <c r="V54" s="34"/>
      <c r="W54" s="34"/>
      <c r="X54" s="29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25.5" x14ac:dyDescent="0.2">
      <c r="A55" s="18"/>
      <c r="B55" s="18"/>
      <c r="C55" s="60" t="s">
        <v>15</v>
      </c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4">
        <v>0</v>
      </c>
      <c r="O55" s="6">
        <f>SUMIFS($K$3:$K$39,P3:P39,"=X")</f>
        <v>18</v>
      </c>
      <c r="P55" s="6">
        <f>SUMIFS($K$3:$K$39,Q3:Q39,"=X")</f>
        <v>36</v>
      </c>
      <c r="Q55" s="6">
        <f>SUMIFS($K$3:$K$39,R3:R39,"=X")</f>
        <v>41.25</v>
      </c>
      <c r="R55" s="6">
        <f>SUMIFS($K$3:$K$39,S3:S39,"=X")</f>
        <v>41.25</v>
      </c>
      <c r="S55" s="6"/>
      <c r="T55" s="6"/>
      <c r="U55" s="6"/>
      <c r="V55" s="6"/>
      <c r="W55" s="6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25.5" x14ac:dyDescent="0.2">
      <c r="A56" s="18"/>
      <c r="B56" s="18"/>
      <c r="C56" s="62" t="s">
        <v>32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65">
        <v>0</v>
      </c>
      <c r="O56" s="6">
        <f>SUM(O3:O39)+N56</f>
        <v>32.75</v>
      </c>
      <c r="P56" s="6">
        <f>SUM(P3:P39)+O56</f>
        <v>45.25</v>
      </c>
      <c r="Q56" s="6">
        <f>SUM(Q3:Q39)+P56</f>
        <v>49.75</v>
      </c>
      <c r="R56" s="6">
        <f>SUM(R3:R39)+Q56</f>
        <v>49.75</v>
      </c>
      <c r="S56" s="6"/>
      <c r="T56" s="6"/>
      <c r="U56" s="6"/>
      <c r="V56" s="6"/>
      <c r="W56" s="6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x14ac:dyDescent="0.2">
      <c r="A57" s="18"/>
      <c r="B57" s="18"/>
      <c r="C57" s="19"/>
      <c r="D57" s="19"/>
      <c r="E57" s="19"/>
      <c r="F57" s="19"/>
      <c r="G57" s="19"/>
      <c r="H57" s="19"/>
      <c r="I57" s="19"/>
      <c r="J57" s="19"/>
      <c r="K57" s="19"/>
      <c r="L57" s="35"/>
      <c r="M57" s="35"/>
      <c r="N57" s="35"/>
      <c r="O57" s="36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90" t="s">
        <v>19</v>
      </c>
      <c r="N58" s="91"/>
      <c r="O58" s="20" t="s">
        <v>18</v>
      </c>
      <c r="P58" s="21"/>
      <c r="Q58" s="21"/>
      <c r="R58" s="21"/>
      <c r="S58" s="21"/>
      <c r="T58" s="21"/>
      <c r="U58" s="21"/>
      <c r="V58" s="21"/>
      <c r="W58" s="21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47.25" x14ac:dyDescent="0.2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23" t="s">
        <v>5</v>
      </c>
      <c r="N59" s="23" t="s">
        <v>7</v>
      </c>
      <c r="O59" s="27">
        <f t="shared" ref="O59:R59" si="32">O2</f>
        <v>41372</v>
      </c>
      <c r="P59" s="39">
        <f t="shared" si="32"/>
        <v>41379</v>
      </c>
      <c r="Q59" s="39">
        <f t="shared" si="32"/>
        <v>41386</v>
      </c>
      <c r="R59" s="39">
        <f t="shared" si="32"/>
        <v>41393</v>
      </c>
      <c r="S59" s="39">
        <f>S2</f>
        <v>41400</v>
      </c>
      <c r="T59" s="39">
        <f>T2</f>
        <v>41407</v>
      </c>
      <c r="U59" s="39">
        <f>U2</f>
        <v>41414</v>
      </c>
      <c r="V59" s="39">
        <f>V2</f>
        <v>41421</v>
      </c>
      <c r="W59" s="39"/>
      <c r="X59" s="23" t="s">
        <v>13</v>
      </c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49" t="s">
        <v>104</v>
      </c>
      <c r="N60" s="37">
        <f>SUM(O50:CG50)</f>
        <v>49.75</v>
      </c>
      <c r="O60" s="37">
        <f t="shared" ref="O60:R61" si="33">SUMIF($F$3:$F$39,$M60,O$3:O$39)</f>
        <v>0</v>
      </c>
      <c r="P60" s="37">
        <f t="shared" si="33"/>
        <v>0</v>
      </c>
      <c r="Q60" s="37">
        <f t="shared" si="33"/>
        <v>0</v>
      </c>
      <c r="R60" s="37">
        <f t="shared" si="33"/>
        <v>0</v>
      </c>
      <c r="S60" s="37">
        <f t="shared" ref="S60:W61" si="34">SUMIF($F$3:$F$39,$M60,S$3:S$39)</f>
        <v>0</v>
      </c>
      <c r="T60" s="37">
        <f t="shared" si="34"/>
        <v>0</v>
      </c>
      <c r="U60" s="37">
        <f t="shared" si="34"/>
        <v>0</v>
      </c>
      <c r="V60" s="37">
        <f t="shared" si="34"/>
        <v>0</v>
      </c>
      <c r="W60" s="37">
        <f t="shared" si="34"/>
        <v>0</v>
      </c>
      <c r="X60" s="5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49" t="s">
        <v>105</v>
      </c>
      <c r="N61" s="37">
        <f>SUM(O51:CG51)</f>
        <v>0</v>
      </c>
      <c r="O61" s="37">
        <f t="shared" si="33"/>
        <v>0</v>
      </c>
      <c r="P61" s="37">
        <f t="shared" si="33"/>
        <v>0.75</v>
      </c>
      <c r="Q61" s="37">
        <f t="shared" si="33"/>
        <v>0</v>
      </c>
      <c r="R61" s="37">
        <f t="shared" si="33"/>
        <v>0</v>
      </c>
      <c r="S61" s="37">
        <f t="shared" si="34"/>
        <v>0</v>
      </c>
      <c r="T61" s="37">
        <f t="shared" si="34"/>
        <v>0</v>
      </c>
      <c r="U61" s="37">
        <f t="shared" si="34"/>
        <v>0</v>
      </c>
      <c r="V61" s="37">
        <f t="shared" si="34"/>
        <v>0</v>
      </c>
      <c r="W61" s="37">
        <f t="shared" si="34"/>
        <v>0</v>
      </c>
      <c r="X61" s="5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x14ac:dyDescent="0.2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49" t="s">
        <v>106</v>
      </c>
      <c r="N62" s="37">
        <v>0</v>
      </c>
      <c r="O62" s="37">
        <v>0</v>
      </c>
      <c r="P62" s="37">
        <v>0</v>
      </c>
      <c r="Q62" s="37">
        <v>0</v>
      </c>
      <c r="R62" s="37">
        <v>0</v>
      </c>
      <c r="S62" s="37">
        <v>0</v>
      </c>
      <c r="T62" s="37">
        <v>0</v>
      </c>
      <c r="U62" s="37">
        <v>0</v>
      </c>
      <c r="V62" s="37">
        <v>0</v>
      </c>
      <c r="W62" s="37">
        <v>0</v>
      </c>
      <c r="X62" s="5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49" t="s">
        <v>108</v>
      </c>
      <c r="N63" s="37">
        <v>0</v>
      </c>
      <c r="O63" s="37">
        <v>0</v>
      </c>
      <c r="P63" s="37">
        <v>0</v>
      </c>
      <c r="Q63" s="37">
        <v>0</v>
      </c>
      <c r="R63" s="37">
        <v>0</v>
      </c>
      <c r="S63" s="37">
        <v>0</v>
      </c>
      <c r="T63" s="37">
        <v>0</v>
      </c>
      <c r="U63" s="37">
        <v>0</v>
      </c>
      <c r="V63" s="37">
        <v>0</v>
      </c>
      <c r="W63" s="37">
        <v>0</v>
      </c>
      <c r="X63" s="5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x14ac:dyDescent="0.2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49" t="s">
        <v>112</v>
      </c>
      <c r="N64" s="37">
        <v>0</v>
      </c>
      <c r="O64" s="37">
        <v>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0</v>
      </c>
      <c r="X64" s="5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x14ac:dyDescent="0.2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49" t="s">
        <v>108</v>
      </c>
      <c r="N65" s="37">
        <v>0</v>
      </c>
      <c r="O65" s="37">
        <v>0</v>
      </c>
      <c r="P65" s="37">
        <v>0</v>
      </c>
      <c r="Q65" s="37">
        <v>0</v>
      </c>
      <c r="R65" s="37">
        <v>0</v>
      </c>
      <c r="S65" s="37">
        <v>0</v>
      </c>
      <c r="T65" s="37">
        <v>0</v>
      </c>
      <c r="U65" s="37">
        <v>0</v>
      </c>
      <c r="V65" s="37">
        <v>0</v>
      </c>
      <c r="W65" s="37">
        <v>0</v>
      </c>
      <c r="X65" s="5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x14ac:dyDescent="0.2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49" t="s">
        <v>107</v>
      </c>
      <c r="N66" s="37">
        <f>SUM(O56:CG56)</f>
        <v>177.5</v>
      </c>
      <c r="O66" s="37">
        <f t="shared" ref="O66:R67" si="35">SUMIF($F$3:$F$39,$M66,O$3:O$39)</f>
        <v>0</v>
      </c>
      <c r="P66" s="37">
        <f t="shared" si="35"/>
        <v>0</v>
      </c>
      <c r="Q66" s="37">
        <f t="shared" si="35"/>
        <v>0</v>
      </c>
      <c r="R66" s="37">
        <f t="shared" si="35"/>
        <v>0</v>
      </c>
      <c r="S66" s="37">
        <f t="shared" ref="S66:V67" si="36">SUMIF($F$3:$F$39,$M66,S$3:S$39)</f>
        <v>0</v>
      </c>
      <c r="T66" s="37">
        <f t="shared" si="36"/>
        <v>0</v>
      </c>
      <c r="U66" s="37">
        <f t="shared" si="36"/>
        <v>0</v>
      </c>
      <c r="V66" s="37">
        <f t="shared" si="36"/>
        <v>0</v>
      </c>
      <c r="W66" s="37">
        <v>0</v>
      </c>
      <c r="X66" s="5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57"/>
      <c r="J67" s="19"/>
      <c r="K67" s="19"/>
      <c r="L67" s="35"/>
      <c r="M67" s="49"/>
      <c r="N67" s="37">
        <f>SUM(O57:CG57)</f>
        <v>0</v>
      </c>
      <c r="O67" s="37">
        <f t="shared" si="35"/>
        <v>0</v>
      </c>
      <c r="P67" s="37">
        <f t="shared" si="35"/>
        <v>0</v>
      </c>
      <c r="Q67" s="37">
        <f t="shared" si="35"/>
        <v>0</v>
      </c>
      <c r="R67" s="37">
        <f t="shared" si="35"/>
        <v>0</v>
      </c>
      <c r="S67" s="37">
        <f t="shared" si="36"/>
        <v>0</v>
      </c>
      <c r="T67" s="37">
        <f t="shared" si="36"/>
        <v>0</v>
      </c>
      <c r="U67" s="37">
        <f t="shared" si="36"/>
        <v>0</v>
      </c>
      <c r="V67" s="37">
        <f t="shared" si="36"/>
        <v>0</v>
      </c>
      <c r="W67" s="37">
        <f>SUMIF($F$3:$F$39,$M67,W$3:W$39)</f>
        <v>0</v>
      </c>
      <c r="X67" s="5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47" t="s">
        <v>20</v>
      </c>
      <c r="N68" s="48">
        <f>SUM(N60:N67)</f>
        <v>227.25</v>
      </c>
      <c r="O68" s="48">
        <f t="shared" ref="O68:R68" si="37">SUM(O60:O67)</f>
        <v>0</v>
      </c>
      <c r="P68" s="48">
        <f t="shared" si="37"/>
        <v>0.75</v>
      </c>
      <c r="Q68" s="48">
        <f t="shared" si="37"/>
        <v>0</v>
      </c>
      <c r="R68" s="48">
        <f t="shared" si="37"/>
        <v>0</v>
      </c>
      <c r="S68" s="48">
        <f>SUM(S60:S67)</f>
        <v>0</v>
      </c>
      <c r="T68" s="48">
        <f>SUM(T60:T67)</f>
        <v>0</v>
      </c>
      <c r="U68" s="48">
        <f>SUM(U60:U67)</f>
        <v>0</v>
      </c>
      <c r="V68" s="48">
        <f>SUM(V60:V67)</f>
        <v>0</v>
      </c>
      <c r="W68" s="48">
        <f>SUM(W60:W67)</f>
        <v>0</v>
      </c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58:N58"/>
    <mergeCell ref="G1:K1"/>
    <mergeCell ref="L1:N1"/>
    <mergeCell ref="C53:I53"/>
    <mergeCell ref="I51:J51"/>
  </mergeCells>
  <conditionalFormatting sqref="L3:M49">
    <cfRule type="containsBlanks" priority="65" stopIfTrue="1">
      <formula>LEN(TRIM(L3))=0</formula>
    </cfRule>
  </conditionalFormatting>
  <conditionalFormatting sqref="M13:M49">
    <cfRule type="cellIs" dxfId="28" priority="117" operator="greaterThan">
      <formula>#REF!</formula>
    </cfRule>
    <cfRule type="cellIs" dxfId="27" priority="118" operator="lessThan">
      <formula>#REF!</formula>
    </cfRule>
  </conditionalFormatting>
  <conditionalFormatting sqref="L3:M49">
    <cfRule type="cellIs" dxfId="26" priority="124" operator="greaterThan">
      <formula>G3</formula>
    </cfRule>
    <cfRule type="cellIs" dxfId="25" priority="125" operator="lessThan">
      <formula>G3</formula>
    </cfRule>
  </conditionalFormatting>
  <conditionalFormatting sqref="N3:N49">
    <cfRule type="cellIs" priority="128" stopIfTrue="1" operator="equal">
      <formula>0</formula>
    </cfRule>
    <cfRule type="cellIs" dxfId="24" priority="129" operator="lessThan">
      <formula>K3</formula>
    </cfRule>
    <cfRule type="cellIs" dxfId="23" priority="130" operator="greaterThan">
      <formula>K3</formula>
    </cfRule>
  </conditionalFormatting>
  <conditionalFormatting sqref="O55:W55">
    <cfRule type="cellIs" dxfId="22" priority="22" operator="greaterThan">
      <formula>0</formula>
    </cfRule>
  </conditionalFormatting>
  <conditionalFormatting sqref="O56:W56">
    <cfRule type="cellIs" dxfId="21" priority="21" operator="greaterThan">
      <formula>0</formula>
    </cfRule>
  </conditionalFormatting>
  <conditionalFormatting sqref="G3:H49">
    <cfRule type="expression" dxfId="20" priority="11">
      <formula>FormulaInCell</formula>
    </cfRule>
  </conditionalFormatting>
  <conditionalFormatting sqref="O3:W49">
    <cfRule type="cellIs" dxfId="19" priority="18" operator="equal">
      <formula>"X"</formula>
    </cfRule>
    <cfRule type="cellIs" dxfId="18" priority="19" operator="greaterThan">
      <formula>0</formula>
    </cfRule>
    <cfRule type="expression" dxfId="17" priority="20">
      <formula>AND(O$2&gt;=$G3,O$2&lt;$H3,ISNUMBER(O3))</formula>
    </cfRule>
    <cfRule type="expression" dxfId="16" priority="23">
      <formula>AND(O$2&gt;=$G3,O$2&lt;$H3)</formula>
    </cfRule>
    <cfRule type="expression" dxfId="15" priority="24">
      <formula>AND(ISNUMBER(O3))</formula>
    </cfRule>
  </conditionalFormatting>
  <conditionalFormatting sqref="O59:W59 O2:W2">
    <cfRule type="expression" dxfId="14" priority="6">
      <formula>O2&gt;MAX($H$3:$H$39)</formula>
    </cfRule>
  </conditionalFormatting>
  <conditionalFormatting sqref="N52:W52">
    <cfRule type="expression" dxfId="13" priority="4">
      <formula>N52&gt;MAX($H$3:$H$39)</formula>
    </cfRule>
  </conditionalFormatting>
  <conditionalFormatting sqref="O50:W50">
    <cfRule type="cellIs" priority="1" stopIfTrue="1" operator="equal">
      <formula>0</formula>
    </cfRule>
    <cfRule type="cellIs" dxfId="12" priority="2" operator="lessThan">
      <formula>$K$51</formula>
    </cfRule>
    <cfRule type="cellIs" dxfId="11" priority="3" operator="greaterThan">
      <formula>$K$51</formula>
    </cfRule>
  </conditionalFormatting>
  <conditionalFormatting sqref="O53:W53">
    <cfRule type="expression" dxfId="10" priority="146">
      <formula>O53=N$53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H3:H27 G28:H49 G12:G27 G4:G8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9" sqref="H2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heet="1" objects="1" scenarios="1"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Filipe</cp:lastModifiedBy>
  <dcterms:created xsi:type="dcterms:W3CDTF">2009-04-24T00:02:24Z</dcterms:created>
  <dcterms:modified xsi:type="dcterms:W3CDTF">2013-04-21T12:20:57Z</dcterms:modified>
</cp:coreProperties>
</file>