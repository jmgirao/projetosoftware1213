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Dropbox\ISEC\MIS\1º ANO\Projecto de Software\Repository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/>
  <c r="R55" i="2" s="1"/>
  <c r="S55" i="2" s="1"/>
  <c r="T55" i="2" s="1"/>
  <c r="U55" i="2" s="1"/>
  <c r="V55" i="2" s="1"/>
  <c r="W55" i="2" s="1"/>
  <c r="P52" i="2"/>
  <c r="Q52" i="2" s="1"/>
  <c r="P51" i="2"/>
  <c r="R43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L10" i="2" a="1"/>
  <c r="L10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L14" i="2" a="1"/>
  <c r="L14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M13" i="2" s="1"/>
  <c r="R69" i="2"/>
  <c r="L13" i="2" l="1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<sst xmlns="http://schemas.openxmlformats.org/spreadsheetml/2006/main" count="242" uniqueCount="131">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</sst>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65"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78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648896"/>
        <c:axId val="162649456"/>
      </c:lineChart>
      <c:catAx>
        <c:axId val="162648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62649456"/>
        <c:crosses val="autoZero"/>
        <c:auto val="0"/>
        <c:lblAlgn val="ctr"/>
        <c:lblOffset val="100"/>
        <c:noMultiLvlLbl val="0"/>
      </c:catAx>
      <c:valAx>
        <c:axId val="1626494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2648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6" activePane="bottomRight" state="frozen"/>
      <selection pane="topRight" activeCell="F1" sqref="F1"/>
      <selection pane="bottomLeft" activeCell="A3" sqref="A3"/>
      <selection pane="bottomRight" activeCell="R13" sqref="R13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2.25</v>
      </c>
      <c r="O12" s="80"/>
      <c r="P12" s="80"/>
      <c r="Q12" s="80"/>
      <c r="R12" s="80">
        <v>2.25</v>
      </c>
      <c r="S12" s="80" t="s">
        <v>112</v>
      </c>
      <c r="T12" s="80" t="str">
        <f t="shared" ref="T12:W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>IF(ISNA(MATCH("X",O35:W35,0)),"",INDEX($O$2:$X$2,1,MATCH("X",O35:W35,0)-1))</f>
        <v/>
      </c>
      <c r="N35" s="56">
        <f>SUM(O33:CG33)</f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>IF(ISNUMBER(R35)," ",IF(R35="X","X"," "))</f>
        <v xml:space="preserve"> </v>
      </c>
      <c r="T35" s="51" t="str">
        <f>IF(ISNUMBER(S35)," ",IF(S35="X","X"," "))</f>
        <v xml:space="preserve"> </v>
      </c>
      <c r="U35" s="51" t="str">
        <f>IF(ISNUMBER(T35)," ",IF(T35="X","X"," "))</f>
        <v xml:space="preserve"> </v>
      </c>
      <c r="V35" s="51" t="str">
        <f>IF(ISNUMBER(U35)," ",IF(U35="X","X"," "))</f>
        <v xml:space="preserve"> </v>
      </c>
      <c r="W35" s="51" t="str">
        <f>IF(ISNUMBER(V35)," ",IF(V35="X","X"," "))</f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>IF(ISNA(MATCH("X",O36:W36,0)),"",INDEX($O$2:$X$2,1,MATCH("X",O36:W36,0)-1))</f>
        <v/>
      </c>
      <c r="N36" s="56">
        <f>SUM(O34:CG34)</f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>IF(ISNUMBER(R36)," ",IF(R36="X","X"," "))</f>
        <v xml:space="preserve"> </v>
      </c>
      <c r="T36" s="51" t="str">
        <f>IF(ISNUMBER(S36)," ",IF(S36="X","X"," "))</f>
        <v xml:space="preserve"> </v>
      </c>
      <c r="U36" s="51" t="str">
        <f>IF(ISNUMBER(T36)," ",IF(T36="X","X"," "))</f>
        <v xml:space="preserve"> </v>
      </c>
      <c r="V36" s="51" t="str">
        <f>IF(ISNUMBER(U36)," ",IF(U36="X","X"," "))</f>
        <v xml:space="preserve"> </v>
      </c>
      <c r="W36" s="51" t="str">
        <f>IF(ISNUMBER(V36)," ",IF(V36="X","X"," "))</f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>IF(ISNA(MATCH("X",O37:W37,0)),"",INDEX($O$2:$X$2,1,MATCH("X",O37:W37,0)-1))</f>
        <v/>
      </c>
      <c r="N37" s="56">
        <f>SUM(O35:CG35)</f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>IF(ISNUMBER(R37)," ",IF(R37="X","X"," "))</f>
        <v xml:space="preserve"> </v>
      </c>
      <c r="T37" s="51" t="str">
        <f>IF(ISNUMBER(S37)," ",IF(S37="X","X"," "))</f>
        <v xml:space="preserve"> </v>
      </c>
      <c r="U37" s="51" t="str">
        <f>IF(ISNUMBER(T37)," ",IF(T37="X","X"," "))</f>
        <v xml:space="preserve"> </v>
      </c>
      <c r="V37" s="51" t="str">
        <f>IF(ISNUMBER(U37)," ",IF(U37="X","X"," "))</f>
        <v xml:space="preserve"> </v>
      </c>
      <c r="W37" s="51" t="str">
        <f>IF(ISNUMBER(V37)," ",IF(V37="X","X"," "))</f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>IF(ISNA(MATCH("X",O38:W38,0)),"",INDEX($O$2:$X$2,1,MATCH("X",O38:W38,0)-1))</f>
        <v/>
      </c>
      <c r="N38" s="56">
        <f>SUM(O36:CG36)</f>
        <v>0</v>
      </c>
      <c r="O38" s="51"/>
      <c r="P38" s="51" t="str">
        <f t="shared" ref="P38:R38" si="16">IF(ISNUMBER(O38)," ",IF(O38="X","X"," "))</f>
        <v xml:space="preserve"> </v>
      </c>
      <c r="Q38" s="51" t="str">
        <f t="shared" si="16"/>
        <v xml:space="preserve"> </v>
      </c>
      <c r="R38" s="51" t="str">
        <f t="shared" si="16"/>
        <v xml:space="preserve"> </v>
      </c>
      <c r="S38" s="51" t="str">
        <f>IF(ISNUMBER(R38)," ",IF(R38="X","X"," "))</f>
        <v xml:space="preserve"> </v>
      </c>
      <c r="T38" s="51" t="str">
        <f>IF(ISNUMBER(S38)," ",IF(S38="X","X"," "))</f>
        <v xml:space="preserve"> </v>
      </c>
      <c r="U38" s="51" t="str">
        <f>IF(ISNUMBER(T38)," ",IF(T38="X","X"," "))</f>
        <v xml:space="preserve"> </v>
      </c>
      <c r="V38" s="51" t="str">
        <f>IF(ISNUMBER(U38)," ",IF(U38="X","X"," "))</f>
        <v xml:space="preserve"> </v>
      </c>
      <c r="W38" s="51" t="str">
        <f>IF(ISNUMBER(V38)," ",IF(V38="X","X"," "))</f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>IF(ISNA(MATCH("X",O39:W39,0)),"",INDEX($O$2:$X$2,1,MATCH("X",O39:W39,0)-1))</f>
        <v/>
      </c>
      <c r="N39" s="56">
        <f>SUM(O37:CG37)</f>
        <v>0</v>
      </c>
      <c r="O39" s="51"/>
      <c r="P39" s="51" t="str">
        <f t="shared" ref="P39:R39" si="17">IF(ISNUMBER(O39)," ",IF(O39="X","X"," "))</f>
        <v xml:space="preserve"> </v>
      </c>
      <c r="Q39" s="51" t="str">
        <f t="shared" si="17"/>
        <v xml:space="preserve"> </v>
      </c>
      <c r="R39" s="51" t="str">
        <f t="shared" si="17"/>
        <v xml:space="preserve"> </v>
      </c>
      <c r="S39" s="51" t="str">
        <f>IF(ISNUMBER(R39)," ",IF(R39="X","X"," "))</f>
        <v xml:space="preserve"> </v>
      </c>
      <c r="T39" s="51" t="str">
        <f>IF(ISNUMBER(S39)," ",IF(S39="X","X"," "))</f>
        <v xml:space="preserve"> </v>
      </c>
      <c r="U39" s="51" t="str">
        <f>IF(ISNUMBER(T39)," ",IF(T39="X","X"," "))</f>
        <v xml:space="preserve"> </v>
      </c>
      <c r="V39" s="51" t="str">
        <f>IF(ISNUMBER(U39)," ",IF(U39="X","X"," "))</f>
        <v xml:space="preserve"> </v>
      </c>
      <c r="W39" s="51" t="str">
        <f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>IF(ISNA(MATCH("X",O40:W40,0)),"",INDEX($O$2:$X$2,1,MATCH("X",O40:W40,0)-1))</f>
        <v>41372</v>
      </c>
      <c r="N40" s="56">
        <f>SUM(O38:CG38)</f>
        <v>0</v>
      </c>
      <c r="O40" s="51">
        <f>1+0.75</f>
        <v>1.75</v>
      </c>
      <c r="P40" s="51" t="s">
        <v>113</v>
      </c>
      <c r="Q40" s="51" t="str">
        <f t="shared" ref="Q40:R40" si="18">IF(ISNUMBER(P40)," ",IF(P40="X","X"," "))</f>
        <v>X</v>
      </c>
      <c r="R40" s="51" t="str">
        <f t="shared" si="18"/>
        <v>X</v>
      </c>
      <c r="S40" s="51" t="str">
        <f>IF(ISNUMBER(R40)," ",IF(R40="X","X"," "))</f>
        <v>X</v>
      </c>
      <c r="T40" s="51" t="str">
        <f>IF(ISNUMBER(S40)," ",IF(S40="X","X"," "))</f>
        <v>X</v>
      </c>
      <c r="U40" s="51" t="str">
        <f>IF(ISNUMBER(T40)," ",IF(T40="X","X"," "))</f>
        <v>X</v>
      </c>
      <c r="V40" s="51" t="str">
        <f>IF(ISNUMBER(U40)," ",IF(U40="X","X"," "))</f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>IF(ISNA(MATCH("X",O41:W41,0)),"",INDEX($O$2:$X$2,1,MATCH("X",O41:W41,0)-1))</f>
        <v>41379</v>
      </c>
      <c r="N41" s="56">
        <f>SUM(O39:CG39)</f>
        <v>0</v>
      </c>
      <c r="O41" s="51"/>
      <c r="P41" s="51">
        <f>0.25+0.5+0.75+0.25</f>
        <v>1.75</v>
      </c>
      <c r="Q41" s="51" t="s">
        <v>113</v>
      </c>
      <c r="R41" s="51" t="str">
        <f t="shared" ref="R41" si="19">IF(ISNUMBER(Q41)," ",IF(Q41="X","X"," "))</f>
        <v>X</v>
      </c>
      <c r="S41" s="51" t="str">
        <f>IF(ISNUMBER(R41)," ",IF(R41="X","X"," "))</f>
        <v>X</v>
      </c>
      <c r="T41" s="51" t="str">
        <f>IF(ISNUMBER(S41)," ",IF(S41="X","X"," "))</f>
        <v>X</v>
      </c>
      <c r="U41" s="51" t="str">
        <f>IF(ISNUMBER(T41)," ",IF(T41="X","X"," "))</f>
        <v>X</v>
      </c>
      <c r="V41" s="51" t="str">
        <f>IF(ISNUMBER(U41)," ",IF(U41="X","X"," "))</f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>IF(ISNA(MATCH("X",O42:W42,0)),"",INDEX($O$2:$X$2,1,MATCH("X",O42:W42,0)-1))</f>
        <v>41386</v>
      </c>
      <c r="N42" s="56">
        <f>SUM(O40:CG40)</f>
        <v>1.75</v>
      </c>
      <c r="O42" s="51"/>
      <c r="P42" s="51" t="str">
        <f t="shared" ref="P42" si="20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>IF(ISNUMBER(R42)," ",IF(R42="X","X"," "))</f>
        <v>X</v>
      </c>
      <c r="T42" s="51" t="str">
        <f>IF(ISNUMBER(S42)," ",IF(S42="X","X"," "))</f>
        <v>X</v>
      </c>
      <c r="U42" s="51" t="str">
        <f>IF(ISNUMBER(T42)," ",IF(T42="X","X"," "))</f>
        <v>X</v>
      </c>
      <c r="V42" s="51" t="str">
        <f>IF(ISNUMBER(U42)," ",IF(U42="X","X"," "))</f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>IF(ISNA(MATCH("X",O43:W43,0)),"",INDEX($O$2:$X$2,1,MATCH("X",O43:W43,0)-1))</f>
        <v/>
      </c>
      <c r="N43" s="56">
        <f>SUM(O41:CG41)</f>
        <v>1.75</v>
      </c>
      <c r="O43" s="51"/>
      <c r="P43" s="51" t="str">
        <f>IF(ISNUMBER(O43)," ",IF(O43="X","X"," "))</f>
        <v xml:space="preserve"> </v>
      </c>
      <c r="Q43" s="51" t="str">
        <f>IF(ISNUMBER(P43)," ",IF(P43="X","X"," "))</f>
        <v xml:space="preserve"> </v>
      </c>
      <c r="R43" s="51">
        <f>0.25+0.25+0.25</f>
        <v>0.75</v>
      </c>
      <c r="S43" s="51" t="str">
        <f>IF(ISNUMBER(R43)," ",IF(R43="X","X"," "))</f>
        <v xml:space="preserve"> </v>
      </c>
      <c r="T43" s="51" t="str">
        <f>IF(ISNUMBER(S43)," ",IF(S43="X","X"," "))</f>
        <v xml:space="preserve"> </v>
      </c>
      <c r="U43" s="51" t="str">
        <f>IF(ISNUMBER(T43)," ",IF(T43="X","X"," "))</f>
        <v xml:space="preserve"> </v>
      </c>
      <c r="V43" s="51" t="str">
        <f>IF(ISNUMBER(U43)," ",IF(U43="X","X"," "))</f>
        <v xml:space="preserve"> </v>
      </c>
      <c r="W43" s="51" t="str">
        <f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>IF(ISNA(MATCH("X",O44:W44,0)),"",INDEX($O$2:$X$2,1,MATCH("X",O44:W44,0)-1))</f>
        <v/>
      </c>
      <c r="N44" s="56">
        <f>SUM(O42:CG42)</f>
        <v>2.5</v>
      </c>
      <c r="O44" s="51"/>
      <c r="P44" s="51" t="str">
        <f>IF(ISNUMBER(O44)," ",IF(O44="X","X"," "))</f>
        <v xml:space="preserve"> </v>
      </c>
      <c r="Q44" s="51" t="str">
        <f>IF(ISNUMBER(P44)," ",IF(P44="X","X"," "))</f>
        <v xml:space="preserve"> </v>
      </c>
      <c r="R44" s="51" t="str">
        <f>IF(ISNUMBER(Q44)," ",IF(Q44="X","X"," "))</f>
        <v xml:space="preserve"> </v>
      </c>
      <c r="S44" s="51" t="str">
        <f>IF(ISNUMBER(R44)," ",IF(R44="X","X"," "))</f>
        <v xml:space="preserve"> </v>
      </c>
      <c r="T44" s="51" t="str">
        <f>IF(ISNUMBER(S44)," ",IF(S44="X","X"," "))</f>
        <v xml:space="preserve"> </v>
      </c>
      <c r="U44" s="51" t="str">
        <f>IF(ISNUMBER(T44)," ",IF(T44="X","X"," "))</f>
        <v xml:space="preserve"> </v>
      </c>
      <c r="V44" s="51" t="str">
        <f>IF(ISNUMBER(U44)," ",IF(U44="X","X"," "))</f>
        <v xml:space="preserve"> </v>
      </c>
      <c r="W44" s="51" t="str">
        <f>IF(ISNUMBER(V44)," ",IF(V44="X","X"," "))</f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>IF(ISNA(MATCH("X",O45:W45,0)),"",INDEX($O$2:$X$2,1,MATCH("X",O45:W45,0)-1))</f>
        <v/>
      </c>
      <c r="N45" s="56">
        <f>SUM(O43:CG43)</f>
        <v>0.75</v>
      </c>
      <c r="O45" s="51"/>
      <c r="P45" s="51" t="str">
        <f>IF(ISNUMBER(O45)," ",IF(O45="X","X"," "))</f>
        <v xml:space="preserve"> </v>
      </c>
      <c r="Q45" s="51" t="str">
        <f>IF(ISNUMBER(P45)," ",IF(P45="X","X"," "))</f>
        <v xml:space="preserve"> </v>
      </c>
      <c r="R45" s="51" t="str">
        <f>IF(ISNUMBER(Q45)," ",IF(Q45="X","X"," "))</f>
        <v xml:space="preserve"> </v>
      </c>
      <c r="S45" s="51" t="str">
        <f>IF(ISNUMBER(R45)," ",IF(R45="X","X"," "))</f>
        <v xml:space="preserve"> </v>
      </c>
      <c r="T45" s="51" t="str">
        <f>IF(ISNUMBER(S45)," ",IF(S45="X","X"," "))</f>
        <v xml:space="preserve"> </v>
      </c>
      <c r="U45" s="51" t="str">
        <f>IF(ISNUMBER(T45)," ",IF(T45="X","X"," "))</f>
        <v xml:space="preserve"> </v>
      </c>
      <c r="V45" s="51" t="str">
        <f>IF(ISNUMBER(U45)," ",IF(U45="X","X"," "))</f>
        <v xml:space="preserve"> </v>
      </c>
      <c r="W45" s="51" t="str">
        <f>IF(ISNUMBER(V45)," ",IF(V45="X","X"," "))</f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>IF(ISNA(MATCH("X",O46:W46,0)),"",INDEX($O$2:$X$2,1,MATCH("X",O46:W46,0)-1))</f>
        <v/>
      </c>
      <c r="N46" s="56">
        <f>SUM(O44:CG44)</f>
        <v>0</v>
      </c>
      <c r="O46" s="51"/>
      <c r="P46" s="51" t="str">
        <f>IF(ISNUMBER(O46)," ",IF(O46="X","X"," "))</f>
        <v xml:space="preserve"> </v>
      </c>
      <c r="Q46" s="51" t="str">
        <f>IF(ISNUMBER(P46)," ",IF(P46="X","X"," "))</f>
        <v xml:space="preserve"> </v>
      </c>
      <c r="R46" s="51" t="str">
        <f>IF(ISNUMBER(Q46)," ",IF(Q46="X","X"," "))</f>
        <v xml:space="preserve"> </v>
      </c>
      <c r="S46" s="51" t="str">
        <f>IF(ISNUMBER(R46)," ",IF(R46="X","X"," "))</f>
        <v xml:space="preserve"> </v>
      </c>
      <c r="T46" s="51" t="str">
        <f>IF(ISNUMBER(S46)," ",IF(S46="X","X"," "))</f>
        <v xml:space="preserve"> </v>
      </c>
      <c r="U46" s="51" t="str">
        <f>IF(ISNUMBER(T46)," ",IF(T46="X","X"," "))</f>
        <v xml:space="preserve"> </v>
      </c>
      <c r="V46" s="51" t="str">
        <f>IF(ISNUMBER(U46)," ",IF(U46="X","X"," "))</f>
        <v xml:space="preserve"> </v>
      </c>
      <c r="W46" s="51" t="str">
        <f>IF(ISNUMBER(V46)," ",IF(V46="X","X"," "))</f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>IF(ISNA(MATCH("X",O47:W47,0)),"",INDEX($O$2:$X$2,1,MATCH("X",O47:W47,0)-1))</f>
        <v/>
      </c>
      <c r="N47" s="56">
        <f>SUM(O45:CG45)</f>
        <v>0</v>
      </c>
      <c r="O47" s="51"/>
      <c r="P47" s="51" t="str">
        <f>IF(ISNUMBER(O47)," ",IF(O47="X","X"," "))</f>
        <v xml:space="preserve"> </v>
      </c>
      <c r="Q47" s="51" t="str">
        <f>IF(ISNUMBER(P47)," ",IF(P47="X","X"," "))</f>
        <v xml:space="preserve"> </v>
      </c>
      <c r="R47" s="51" t="str">
        <f>IF(ISNUMBER(Q47)," ",IF(Q47="X","X"," "))</f>
        <v xml:space="preserve"> </v>
      </c>
      <c r="S47" s="51" t="str">
        <f>IF(ISNUMBER(R47)," ",IF(R47="X","X"," "))</f>
        <v xml:space="preserve"> </v>
      </c>
      <c r="T47" s="51" t="str">
        <f>IF(ISNUMBER(S47)," ",IF(S47="X","X"," "))</f>
        <v xml:space="preserve"> </v>
      </c>
      <c r="U47" s="51" t="str">
        <f>IF(ISNUMBER(T47)," ",IF(T47="X","X"," "))</f>
        <v xml:space="preserve"> </v>
      </c>
      <c r="V47" s="51" t="str">
        <f>IF(ISNUMBER(U47)," ",IF(U47="X","X"," "))</f>
        <v xml:space="preserve"> </v>
      </c>
      <c r="W47" s="51" t="str">
        <f>IF(ISNUMBER(V47)," ",IF(V47="X","X"," "))</f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6:M53" si="21">IF(ISNA(MATCH("X",O48:W48,0)),"",INDEX($O$2:$X$2,1,MATCH("X",O48:W48,0)-1))</f>
        <v/>
      </c>
      <c r="N48" s="56">
        <f t="shared" ref="N46:N53" si="22">SUM(O48:CG48)</f>
        <v>0</v>
      </c>
      <c r="O48" s="51"/>
      <c r="P48" s="51" t="str">
        <f>IF(ISNUMBER(O48)," ",IF(O48="X","X"," "))</f>
        <v xml:space="preserve"> </v>
      </c>
      <c r="Q48" s="51" t="str">
        <f>IF(ISNUMBER(P48)," ",IF(P48="X","X"," "))</f>
        <v xml:space="preserve"> </v>
      </c>
      <c r="R48" s="51" t="str">
        <f>IF(ISNUMBER(Q48)," ",IF(Q48="X","X"," "))</f>
        <v xml:space="preserve"> </v>
      </c>
      <c r="S48" s="51" t="str">
        <f>IF(ISNUMBER(R48)," ",IF(R48="X","X"," "))</f>
        <v xml:space="preserve"> </v>
      </c>
      <c r="T48" s="51" t="str">
        <f>IF(ISNUMBER(S48)," ",IF(S48="X","X"," "))</f>
        <v xml:space="preserve"> </v>
      </c>
      <c r="U48" s="51" t="str">
        <f>IF(ISNUMBER(T48)," ",IF(T48="X","X"," "))</f>
        <v xml:space="preserve"> </v>
      </c>
      <c r="V48" s="51" t="str">
        <f>IF(ISNUMBER(U48)," ",IF(U48="X","X"," "))</f>
        <v xml:space="preserve"> </v>
      </c>
      <c r="W48" s="51" t="str">
        <f>IF(ISNUMBER(V48)," ",IF(V48="X","X"," "))</f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1"/>
        <v/>
      </c>
      <c r="N49" s="56">
        <f t="shared" si="22"/>
        <v>0</v>
      </c>
      <c r="O49" s="51"/>
      <c r="P49" s="51" t="str">
        <f>IF(ISNUMBER(O49)," ",IF(O49="X","X"," "))</f>
        <v xml:space="preserve"> </v>
      </c>
      <c r="Q49" s="51" t="str">
        <f>IF(ISNUMBER(P49)," ",IF(P49="X","X"," "))</f>
        <v xml:space="preserve"> </v>
      </c>
      <c r="R49" s="51" t="str">
        <f>IF(ISNUMBER(Q49)," ",IF(Q49="X","X"," "))</f>
        <v xml:space="preserve"> </v>
      </c>
      <c r="S49" s="51" t="str">
        <f>IF(ISNUMBER(R49)," ",IF(R49="X","X"," "))</f>
        <v xml:space="preserve"> </v>
      </c>
      <c r="T49" s="51" t="str">
        <f>IF(ISNUMBER(S49)," ",IF(S49="X","X"," "))</f>
        <v xml:space="preserve"> </v>
      </c>
      <c r="U49" s="51" t="str">
        <f>IF(ISNUMBER(T49)," ",IF(T49="X","X"," "))</f>
        <v xml:space="preserve"> </v>
      </c>
      <c r="V49" s="51" t="str">
        <f>IF(ISNUMBER(U49)," ",IF(U49="X","X"," "))</f>
        <v xml:space="preserve"> </v>
      </c>
      <c r="W49" s="51" t="str">
        <f>IF(ISNUMBER(V49)," ",IF(V49="X","X"," "))</f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1"/>
        <v/>
      </c>
      <c r="N50" s="56">
        <f t="shared" si="22"/>
        <v>0</v>
      </c>
      <c r="O50" s="51"/>
      <c r="P50" s="51" t="str">
        <f>IF(ISNUMBER(O50)," ",IF(O50="X","X"," "))</f>
        <v xml:space="preserve"> </v>
      </c>
      <c r="Q50" s="51" t="str">
        <f>IF(ISNUMBER(P50)," ",IF(P50="X","X"," "))</f>
        <v xml:space="preserve"> </v>
      </c>
      <c r="R50" s="51" t="str">
        <f>IF(ISNUMBER(Q50)," ",IF(Q50="X","X"," "))</f>
        <v xml:space="preserve"> </v>
      </c>
      <c r="S50" s="51" t="str">
        <f>IF(ISNUMBER(R50)," ",IF(R50="X","X"," "))</f>
        <v xml:space="preserve"> </v>
      </c>
      <c r="T50" s="51" t="str">
        <f>IF(ISNUMBER(S50)," ",IF(S50="X","X"," "))</f>
        <v xml:space="preserve"> </v>
      </c>
      <c r="U50" s="51" t="str">
        <f>IF(ISNUMBER(T50)," ",IF(T50="X","X"," "))</f>
        <v xml:space="preserve"> </v>
      </c>
      <c r="V50" s="51" t="str">
        <f>IF(ISNUMBER(U50)," ",IF(U50="X","X"," "))</f>
        <v xml:space="preserve"> </v>
      </c>
      <c r="W50" s="51" t="str">
        <f>IF(ISNUMBER(V50)," ",IF(V50="X","X"," "))</f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1"/>
        <v/>
      </c>
      <c r="N51" s="56">
        <f t="shared" si="22"/>
        <v>0</v>
      </c>
      <c r="O51" s="51"/>
      <c r="P51" s="51" t="str">
        <f t="shared" ref="P51:P52" si="23">IF(ISNUMBER(O51)," ",IF(O51="X","X"," "))</f>
        <v xml:space="preserve"> </v>
      </c>
      <c r="Q51" s="51" t="str">
        <f t="shared" ref="Q51:Q52" si="24">IF(ISNUMBER(P51)," ",IF(P51="X","X"," "))</f>
        <v xml:space="preserve"> </v>
      </c>
      <c r="R51" s="51" t="str">
        <f t="shared" ref="R51:R52" si="25">IF(ISNUMBER(Q51)," ",IF(Q51="X","X"," "))</f>
        <v xml:space="preserve"> </v>
      </c>
      <c r="S51" s="51" t="str">
        <f t="shared" ref="S51:S52" si="26">IF(ISNUMBER(R51)," ",IF(R51="X","X"," "))</f>
        <v xml:space="preserve"> </v>
      </c>
      <c r="T51" s="51" t="str">
        <f t="shared" ref="T51:T52" si="27">IF(ISNUMBER(S51)," ",IF(S51="X","X"," "))</f>
        <v xml:space="preserve"> </v>
      </c>
      <c r="U51" s="51" t="str">
        <f t="shared" ref="U51:U52" si="28">IF(ISNUMBER(T51)," ",IF(T51="X","X"," "))</f>
        <v xml:space="preserve"> </v>
      </c>
      <c r="V51" s="51" t="str">
        <f t="shared" ref="V51:V52" si="29">IF(ISNUMBER(U51)," ",IF(U51="X","X"," "))</f>
        <v xml:space="preserve"> </v>
      </c>
      <c r="W51" s="51" t="str">
        <f t="shared" ref="W51:W52" si="30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1"/>
        <v/>
      </c>
      <c r="N52" s="56">
        <f t="shared" si="22"/>
        <v>0</v>
      </c>
      <c r="O52" s="51"/>
      <c r="P52" s="51" t="str">
        <f t="shared" si="23"/>
        <v xml:space="preserve"> </v>
      </c>
      <c r="Q52" s="51" t="str">
        <f t="shared" si="24"/>
        <v xml:space="preserve"> </v>
      </c>
      <c r="R52" s="51" t="str">
        <f t="shared" si="25"/>
        <v xml:space="preserve"> </v>
      </c>
      <c r="S52" s="51" t="str">
        <f t="shared" si="26"/>
        <v xml:space="preserve"> </v>
      </c>
      <c r="T52" s="51" t="str">
        <f t="shared" si="27"/>
        <v xml:space="preserve"> </v>
      </c>
      <c r="U52" s="51" t="str">
        <f t="shared" si="28"/>
        <v xml:space="preserve"> </v>
      </c>
      <c r="V52" s="51" t="str">
        <f t="shared" si="29"/>
        <v xml:space="preserve"> </v>
      </c>
      <c r="W52" s="51" t="str">
        <f t="shared" si="30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1">IF(ISNA(MATCH("X",O53:W53,0)),"",INDEX($O$2:$X$2,1,MATCH("X",O53:W53,0)-1))</f>
        <v/>
      </c>
      <c r="N53" s="56">
        <f t="shared" ref="N53:N55" si="32">SUM(O53:CG53)</f>
        <v>0</v>
      </c>
      <c r="O53" s="51"/>
      <c r="P53" s="51" t="str">
        <f t="shared" ref="P53:P55" si="33">IF(ISNUMBER(O53)," ",IF(O53="X","X"," "))</f>
        <v xml:space="preserve"> </v>
      </c>
      <c r="Q53" s="51" t="str">
        <f t="shared" ref="Q53:Q55" si="34">IF(ISNUMBER(P53)," ",IF(P53="X","X"," "))</f>
        <v xml:space="preserve"> </v>
      </c>
      <c r="R53" s="51" t="str">
        <f t="shared" ref="R53:R55" si="35">IF(ISNUMBER(Q53)," ",IF(Q53="X","X"," "))</f>
        <v xml:space="preserve"> </v>
      </c>
      <c r="S53" s="51" t="str">
        <f t="shared" ref="S53:S55" si="36">IF(ISNUMBER(R53)," ",IF(R53="X","X"," "))</f>
        <v xml:space="preserve"> </v>
      </c>
      <c r="T53" s="51" t="str">
        <f t="shared" ref="T53:T55" si="37">IF(ISNUMBER(S53)," ",IF(S53="X","X"," "))</f>
        <v xml:space="preserve"> </v>
      </c>
      <c r="U53" s="51" t="str">
        <f t="shared" ref="U53:U55" si="38">IF(ISNUMBER(T53)," ",IF(T53="X","X"," "))</f>
        <v xml:space="preserve"> </v>
      </c>
      <c r="V53" s="51" t="str">
        <f t="shared" ref="V53:V55" si="39">IF(ISNUMBER(U53)," ",IF(U53="X","X"," "))</f>
        <v xml:space="preserve"> </v>
      </c>
      <c r="W53" s="51" t="str">
        <f t="shared" ref="W53:W55" si="40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1"/>
        <v/>
      </c>
      <c r="N54" s="56">
        <f t="shared" si="32"/>
        <v>0</v>
      </c>
      <c r="O54" s="51"/>
      <c r="P54" s="51" t="str">
        <f t="shared" si="33"/>
        <v xml:space="preserve"> </v>
      </c>
      <c r="Q54" s="51" t="str">
        <f t="shared" si="34"/>
        <v xml:space="preserve"> </v>
      </c>
      <c r="R54" s="51" t="str">
        <f t="shared" si="35"/>
        <v xml:space="preserve"> </v>
      </c>
      <c r="S54" s="51" t="str">
        <f t="shared" si="36"/>
        <v xml:space="preserve"> </v>
      </c>
      <c r="T54" s="51" t="str">
        <f t="shared" si="37"/>
        <v xml:space="preserve"> </v>
      </c>
      <c r="U54" s="51" t="str">
        <f t="shared" si="38"/>
        <v xml:space="preserve"> </v>
      </c>
      <c r="V54" s="51" t="str">
        <f t="shared" si="39"/>
        <v xml:space="preserve"> </v>
      </c>
      <c r="W54" s="51" t="str">
        <f t="shared" si="40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1"/>
        <v/>
      </c>
      <c r="N55" s="56">
        <f t="shared" si="32"/>
        <v>0</v>
      </c>
      <c r="O55" s="51"/>
      <c r="P55" s="51" t="str">
        <f t="shared" si="33"/>
        <v xml:space="preserve"> </v>
      </c>
      <c r="Q55" s="51" t="str">
        <f t="shared" si="34"/>
        <v xml:space="preserve"> </v>
      </c>
      <c r="R55" s="51" t="str">
        <f t="shared" si="35"/>
        <v xml:space="preserve"> </v>
      </c>
      <c r="S55" s="51" t="str">
        <f t="shared" si="36"/>
        <v xml:space="preserve"> </v>
      </c>
      <c r="T55" s="51" t="str">
        <f t="shared" si="37"/>
        <v xml:space="preserve"> </v>
      </c>
      <c r="U55" s="51" t="str">
        <f t="shared" si="38"/>
        <v xml:space="preserve"> </v>
      </c>
      <c r="V55" s="51" t="str">
        <f t="shared" si="39"/>
        <v xml:space="preserve"> </v>
      </c>
      <c r="W55" s="51" t="str">
        <f t="shared" si="40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40:N59" si="41">SUM(O56:CG56)</f>
        <v>0</v>
      </c>
      <c r="O56" s="51"/>
      <c r="P56" s="51" t="str">
        <f t="shared" ref="P41:P59" si="42">IF(ISNUMBER(O56)," ",IF(O56="X","X"," "))</f>
        <v xml:space="preserve"> </v>
      </c>
      <c r="Q56" s="51" t="str">
        <f t="shared" ref="Q41:Q59" si="43">IF(ISNUMBER(P56)," ",IF(P56="X","X"," "))</f>
        <v xml:space="preserve"> </v>
      </c>
      <c r="R56" s="51" t="str">
        <f t="shared" ref="R42:R59" si="44">IF(ISNUMBER(Q56)," ",IF(Q56="X","X"," "))</f>
        <v xml:space="preserve"> </v>
      </c>
      <c r="S56" s="51" t="str">
        <f t="shared" ref="S40:S59" si="45">IF(ISNUMBER(R56)," ",IF(R56="X","X"," "))</f>
        <v xml:space="preserve"> </v>
      </c>
      <c r="T56" s="51" t="str">
        <f t="shared" ref="T40:T59" si="46">IF(ISNUMBER(S56)," ",IF(S56="X","X"," "))</f>
        <v xml:space="preserve"> </v>
      </c>
      <c r="U56" s="51" t="str">
        <f t="shared" ref="U40:U59" si="47">IF(ISNUMBER(T56)," ",IF(T56="X","X"," "))</f>
        <v xml:space="preserve"> </v>
      </c>
      <c r="V56" s="51" t="str">
        <f t="shared" ref="V40:V59" si="48">IF(ISNUMBER(U56)," ",IF(U56="X","X"," "))</f>
        <v xml:space="preserve"> </v>
      </c>
      <c r="W56" s="51" t="str">
        <f t="shared" ref="W41:W59" si="49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1"/>
        <v>0</v>
      </c>
      <c r="O57" s="51"/>
      <c r="P57" s="51" t="str">
        <f t="shared" si="42"/>
        <v xml:space="preserve"> </v>
      </c>
      <c r="Q57" s="51" t="str">
        <f t="shared" si="43"/>
        <v xml:space="preserve"> </v>
      </c>
      <c r="R57" s="51" t="str">
        <f t="shared" si="44"/>
        <v xml:space="preserve"> </v>
      </c>
      <c r="S57" s="51" t="str">
        <f t="shared" si="45"/>
        <v xml:space="preserve"> </v>
      </c>
      <c r="T57" s="51" t="str">
        <f t="shared" si="46"/>
        <v xml:space="preserve"> </v>
      </c>
      <c r="U57" s="51" t="str">
        <f t="shared" si="47"/>
        <v xml:space="preserve"> </v>
      </c>
      <c r="V57" s="51" t="str">
        <f t="shared" si="48"/>
        <v xml:space="preserve"> </v>
      </c>
      <c r="W57" s="51" t="str">
        <f t="shared" si="49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1"/>
        <v>0</v>
      </c>
      <c r="O58" s="51"/>
      <c r="P58" s="51" t="str">
        <f t="shared" si="42"/>
        <v xml:space="preserve"> </v>
      </c>
      <c r="Q58" s="51" t="str">
        <f t="shared" si="43"/>
        <v xml:space="preserve"> </v>
      </c>
      <c r="R58" s="51" t="str">
        <f t="shared" si="44"/>
        <v xml:space="preserve"> </v>
      </c>
      <c r="S58" s="51" t="str">
        <f t="shared" si="45"/>
        <v xml:space="preserve"> </v>
      </c>
      <c r="T58" s="51" t="str">
        <f t="shared" si="46"/>
        <v xml:space="preserve"> </v>
      </c>
      <c r="U58" s="51" t="str">
        <f t="shared" si="47"/>
        <v xml:space="preserve"> </v>
      </c>
      <c r="V58" s="51" t="str">
        <f t="shared" si="48"/>
        <v xml:space="preserve"> </v>
      </c>
      <c r="W58" s="51" t="str">
        <f t="shared" si="49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1"/>
        <v>0</v>
      </c>
      <c r="O59" s="51"/>
      <c r="P59" s="51" t="str">
        <f t="shared" si="42"/>
        <v xml:space="preserve"> </v>
      </c>
      <c r="Q59" s="51" t="str">
        <f t="shared" si="43"/>
        <v xml:space="preserve"> </v>
      </c>
      <c r="R59" s="51" t="str">
        <f t="shared" si="44"/>
        <v xml:space="preserve"> </v>
      </c>
      <c r="S59" s="51" t="str">
        <f t="shared" si="45"/>
        <v xml:space="preserve"> </v>
      </c>
      <c r="T59" s="51" t="str">
        <f t="shared" si="46"/>
        <v xml:space="preserve"> </v>
      </c>
      <c r="U59" s="51" t="str">
        <f t="shared" si="47"/>
        <v xml:space="preserve"> </v>
      </c>
      <c r="V59" s="51" t="str">
        <f t="shared" si="48"/>
        <v xml:space="preserve"> </v>
      </c>
      <c r="W59" s="51" t="str">
        <f t="shared" si="49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SUM(O3:O41)</f>
        <v>33.5</v>
      </c>
      <c r="P60" s="56">
        <f>SUM(P3:P41)</f>
        <v>18.25</v>
      </c>
      <c r="Q60" s="56">
        <f>SUM(Q3:Q41)</f>
        <v>22</v>
      </c>
      <c r="R60" s="56">
        <f>SUM(R3:R41)</f>
        <v>16.5</v>
      </c>
      <c r="S60" s="56">
        <f>SUM(S3:S41)</f>
        <v>0</v>
      </c>
      <c r="T60" s="56">
        <f>SUM(T3:T41)</f>
        <v>0</v>
      </c>
      <c r="U60" s="56">
        <f>SUM(U3:U41)</f>
        <v>0</v>
      </c>
      <c r="V60" s="56">
        <f>SUM(V3:V41)</f>
        <v>0</v>
      </c>
      <c r="W60" s="56">
        <f>SUM(W3:W41)</f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0">IF(OR(ISBLANK(O2),O2=$X$2),"",O2)</f>
        <v>41372</v>
      </c>
      <c r="O62" s="27">
        <f t="shared" si="50"/>
        <v>41379</v>
      </c>
      <c r="P62" s="27">
        <f t="shared" si="50"/>
        <v>41386</v>
      </c>
      <c r="Q62" s="27">
        <f t="shared" si="50"/>
        <v>41393</v>
      </c>
      <c r="R62" s="27">
        <f t="shared" si="50"/>
        <v>41407</v>
      </c>
      <c r="S62" s="27">
        <f t="shared" si="50"/>
        <v>41414</v>
      </c>
      <c r="T62" s="27">
        <f t="shared" si="50"/>
        <v>41421</v>
      </c>
      <c r="U62" s="27">
        <f t="shared" si="50"/>
        <v>41428</v>
      </c>
      <c r="V62" s="27">
        <f t="shared" si="50"/>
        <v>41435</v>
      </c>
      <c r="W62" s="27" t="str">
        <f t="shared" si="50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1">IF(O62="","",N63)</f>
        <v>296</v>
      </c>
      <c r="P63" s="50">
        <f t="shared" si="51"/>
        <v>296</v>
      </c>
      <c r="Q63" s="50">
        <f t="shared" si="51"/>
        <v>296</v>
      </c>
      <c r="R63" s="50">
        <f t="shared" si="51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90.25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2">O2</f>
        <v>41372</v>
      </c>
      <c r="P69" s="39">
        <f t="shared" si="52"/>
        <v>41379</v>
      </c>
      <c r="Q69" s="39">
        <f t="shared" si="52"/>
        <v>41386</v>
      </c>
      <c r="R69" s="39">
        <f t="shared" si="52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90.25</v>
      </c>
      <c r="O70" s="37">
        <f>SUMIF($F$3:$F$41,$M70,O$3:O$41)</f>
        <v>0</v>
      </c>
      <c r="P70" s="37">
        <f>SUMIF($F$3:$F$41,$M70,P$3:P$41)</f>
        <v>0</v>
      </c>
      <c r="Q70" s="37">
        <f>SUMIF($F$3:$F$41,$M70,Q$3:Q$41)</f>
        <v>0</v>
      </c>
      <c r="R70" s="37">
        <f>SUMIF($F$3:$F$41,$M70,R$3:R$41)</f>
        <v>0</v>
      </c>
      <c r="S70" s="37">
        <f>SUMIF($F$3:$F$41,$M70,S$3:S$41)</f>
        <v>0</v>
      </c>
      <c r="T70" s="37">
        <f>SUMIF($F$3:$F$41,$M70,T$3:T$41)</f>
        <v>0</v>
      </c>
      <c r="U70" s="37">
        <f>SUMIF($F$3:$F$41,$M70,U$3:U$41)</f>
        <v>0</v>
      </c>
      <c r="V70" s="37">
        <f>SUMIF($F$3:$F$41,$M70,V$3:V$41)</f>
        <v>0</v>
      </c>
      <c r="W70" s="37">
        <f>SUMIF($F$3:$F$41,$M70,W$3:W$41)</f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>SUMIF($F$3:$F$41,$M71,O$3:O$41)</f>
        <v>0</v>
      </c>
      <c r="P71" s="37">
        <f>SUMIF($F$3:$F$41,$M71,P$3:P$41)</f>
        <v>0</v>
      </c>
      <c r="Q71" s="37">
        <f>SUMIF($F$3:$F$41,$M71,Q$3:Q$41)</f>
        <v>0</v>
      </c>
      <c r="R71" s="37">
        <f>SUMIF($F$3:$F$41,$M71,R$3:R$41)</f>
        <v>0</v>
      </c>
      <c r="S71" s="37">
        <f>SUMIF($F$3:$F$41,$M71,S$3:S$41)</f>
        <v>0</v>
      </c>
      <c r="T71" s="37">
        <f>SUMIF($F$3:$F$41,$M71,T$3:T$41)</f>
        <v>0</v>
      </c>
      <c r="U71" s="37">
        <f>SUMIF($F$3:$F$41,$M71,U$3:U$41)</f>
        <v>0</v>
      </c>
      <c r="V71" s="37">
        <f>SUMIF($F$3:$F$41,$M71,V$3:V$41)</f>
        <v>0</v>
      </c>
      <c r="W71" s="37">
        <f>SUMIF($F$3:$F$41,$M71,W$3:W$41)</f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249.25</v>
      </c>
      <c r="O76" s="37">
        <f>SUMIF($F$3:$F$41,$M76,O$3:O$41)</f>
        <v>0</v>
      </c>
      <c r="P76" s="37">
        <f>SUMIF($F$3:$F$41,$M76,P$3:P$41)</f>
        <v>0</v>
      </c>
      <c r="Q76" s="37">
        <f>SUMIF($F$3:$F$41,$M76,Q$3:Q$41)</f>
        <v>0</v>
      </c>
      <c r="R76" s="37">
        <f>SUMIF($F$3:$F$41,$M76,R$3:R$41)</f>
        <v>0</v>
      </c>
      <c r="S76" s="37">
        <f>SUMIF($F$3:$F$41,$M76,S$3:S$41)</f>
        <v>0</v>
      </c>
      <c r="T76" s="37">
        <f>SUMIF($F$3:$F$41,$M76,T$3:T$41)</f>
        <v>0</v>
      </c>
      <c r="U76" s="37">
        <f>SUMIF($F$3:$F$41,$M76,U$3:U$41)</f>
        <v>0</v>
      </c>
      <c r="V76" s="37">
        <f>SUMIF($F$3:$F$41,$M76,V$3:V$41)</f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>SUMIF($F$3:$F$41,$M77,O$3:O$41)</f>
        <v>0</v>
      </c>
      <c r="P77" s="37">
        <f>SUMIF($F$3:$F$41,$M77,P$3:P$41)</f>
        <v>0</v>
      </c>
      <c r="Q77" s="37">
        <f>SUMIF($F$3:$F$41,$M77,Q$3:Q$41)</f>
        <v>0</v>
      </c>
      <c r="R77" s="37">
        <f>SUMIF($F$3:$F$41,$M77,R$3:R$41)</f>
        <v>0</v>
      </c>
      <c r="S77" s="37">
        <f>SUMIF($F$3:$F$41,$M77,S$3:S$41)</f>
        <v>0</v>
      </c>
      <c r="T77" s="37">
        <f>SUMIF($F$3:$F$41,$M77,T$3:T$41)</f>
        <v>0</v>
      </c>
      <c r="U77" s="37">
        <f>SUMIF($F$3:$F$41,$M77,U$3:U$41)</f>
        <v>0</v>
      </c>
      <c r="V77" s="37">
        <f>SUMIF($F$3:$F$41,$M77,V$3:V$41)</f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339.5</v>
      </c>
      <c r="O78" s="48">
        <f t="shared" ref="O78:R78" si="53">SUM(O70:O77)</f>
        <v>0</v>
      </c>
      <c r="P78" s="48">
        <f t="shared" si="53"/>
        <v>0</v>
      </c>
      <c r="Q78" s="48">
        <f t="shared" si="53"/>
        <v>0</v>
      </c>
      <c r="R78" s="48">
        <f t="shared" si="5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58" priority="146" operator="greaterThan">
      <formula>#REF!</formula>
    </cfRule>
    <cfRule type="cellIs" dxfId="57" priority="147" operator="lessThan">
      <formula>#REF!</formula>
    </cfRule>
  </conditionalFormatting>
  <conditionalFormatting sqref="L56:M59 L3:M47">
    <cfRule type="cellIs" dxfId="56" priority="153" operator="greaterThan">
      <formula>G3</formula>
    </cfRule>
    <cfRule type="cellIs" dxfId="55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54" priority="158" operator="lessThan">
      <formula>K3</formula>
    </cfRule>
    <cfRule type="cellIs" dxfId="53" priority="159" operator="greaterThan">
      <formula>K3</formula>
    </cfRule>
  </conditionalFormatting>
  <conditionalFormatting sqref="O65:W65">
    <cfRule type="cellIs" dxfId="52" priority="51" operator="greaterThan">
      <formula>0</formula>
    </cfRule>
  </conditionalFormatting>
  <conditionalFormatting sqref="O66:W66">
    <cfRule type="cellIs" dxfId="51" priority="50" operator="greaterThan">
      <formula>0</formula>
    </cfRule>
  </conditionalFormatting>
  <conditionalFormatting sqref="G56:H59 G51:H52 G49:H49 G3:H47">
    <cfRule type="expression" dxfId="50" priority="40">
      <formula>FormulaInCell</formula>
    </cfRule>
  </conditionalFormatting>
  <conditionalFormatting sqref="O3:W59">
    <cfRule type="cellIs" dxfId="49" priority="47" operator="equal">
      <formula>"X"</formula>
    </cfRule>
    <cfRule type="cellIs" dxfId="48" priority="48" operator="greaterThan">
      <formula>0</formula>
    </cfRule>
    <cfRule type="expression" dxfId="47" priority="49">
      <formula>AND(O$2&gt;=$G3,O$2&lt;$H3,ISNUMBER(O3))</formula>
    </cfRule>
    <cfRule type="expression" dxfId="46" priority="52">
      <formula>AND(O$2&gt;=$G3,O$2&lt;$H3)</formula>
    </cfRule>
    <cfRule type="expression" dxfId="45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44" priority="31" operator="lessThan">
      <formula>$K$61</formula>
    </cfRule>
    <cfRule type="cellIs" dxfId="43" priority="32" operator="greaterThan">
      <formula>$K$61</formula>
    </cfRule>
  </conditionalFormatting>
  <conditionalFormatting sqref="O63:W63">
    <cfRule type="expression" dxfId="42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41" priority="23" operator="greaterThan">
      <formula>#REF!</formula>
    </cfRule>
    <cfRule type="cellIs" dxfId="40" priority="24" operator="lessThan">
      <formula>#REF!</formula>
    </cfRule>
  </conditionalFormatting>
  <conditionalFormatting sqref="L53:M55">
    <cfRule type="cellIs" dxfId="39" priority="25" operator="greaterThan">
      <formula>G53</formula>
    </cfRule>
    <cfRule type="cellIs" dxfId="38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37" priority="28" operator="lessThan">
      <formula>K48</formula>
    </cfRule>
    <cfRule type="cellIs" dxfId="36" priority="29" operator="greaterThan">
      <formula>K48</formula>
    </cfRule>
  </conditionalFormatting>
  <conditionalFormatting sqref="G48:H48 G53:H55">
    <cfRule type="expression" dxfId="35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34" priority="9" operator="greaterThan">
      <formula>#REF!</formula>
    </cfRule>
    <cfRule type="cellIs" dxfId="33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32" priority="14" operator="lessThan">
      <formula>K50</formula>
    </cfRule>
    <cfRule type="cellIs" dxfId="31" priority="15" operator="greaterThan">
      <formula>K50</formula>
    </cfRule>
  </conditionalFormatting>
  <conditionalFormatting sqref="O69:W69 O2:W2 N62:W62">
    <cfRule type="expression" dxfId="30" priority="223">
      <formula>N2&gt;MAX($H$3:$H$41)</formula>
    </cfRule>
  </conditionalFormatting>
  <conditionalFormatting sqref="L48:M49">
    <cfRule type="cellIs" dxfId="19" priority="244" operator="greaterThan">
      <formula>#REF!</formula>
    </cfRule>
    <cfRule type="cellIs" dxfId="18" priority="245" operator="lessThan">
      <formula>#REF!</formula>
    </cfRule>
  </conditionalFormatting>
  <conditionalFormatting sqref="L50:M52">
    <cfRule type="cellIs" dxfId="17" priority="246" operator="greaterThan">
      <formula>G49</formula>
    </cfRule>
    <cfRule type="cellIs" dxfId="16" priority="247" operator="lessThan">
      <formula>G49</formula>
    </cfRule>
  </conditionalFormatting>
  <conditionalFormatting sqref="G50:H50">
    <cfRule type="expression" dxfId="15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Filipe</cp:lastModifiedBy>
  <dcterms:created xsi:type="dcterms:W3CDTF">2009-04-24T00:02:24Z</dcterms:created>
  <dcterms:modified xsi:type="dcterms:W3CDTF">2013-05-10T02:33:05Z</dcterms:modified>
</cp:coreProperties>
</file>