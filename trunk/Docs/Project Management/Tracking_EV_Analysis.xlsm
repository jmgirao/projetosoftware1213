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Mário\ISEC\Mestrado\PS\Trabalho Prático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U21" i="2" l="1"/>
  <c r="U47" i="2"/>
  <c r="U7" i="2" l="1"/>
  <c r="U33" i="2"/>
  <c r="U39" i="2"/>
  <c r="U50" i="2"/>
  <c r="U26" i="2"/>
  <c r="U16" i="2"/>
  <c r="V15" i="2"/>
  <c r="U38" i="2"/>
  <c r="U29" i="2" l="1"/>
  <c r="U28" i="2"/>
  <c r="T31" i="2" l="1"/>
  <c r="T49" i="2"/>
  <c r="T46" i="2"/>
  <c r="S35" i="2" l="1"/>
  <c r="T35" i="2"/>
  <c r="T24" i="2"/>
  <c r="T37" i="2" l="1"/>
  <c r="T32" i="2"/>
  <c r="T29" i="2"/>
  <c r="T28" i="2"/>
  <c r="T7" i="2" l="1"/>
  <c r="T21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N33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V50" i="2" s="1"/>
  <c r="W50" i="2" s="1"/>
  <c r="Q49" i="2"/>
  <c r="R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L51" i="2" a="1"/>
  <c r="L51" i="2" s="1"/>
  <c r="L52" i="2" a="1"/>
  <c r="L52" i="2" s="1"/>
  <c r="M51" i="2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V47" i="2" s="1"/>
  <c r="W47" i="2" s="1"/>
  <c r="Q46" i="2"/>
  <c r="R46" i="2" s="1"/>
  <c r="S46" i="2" s="1"/>
  <c r="V46" i="2" s="1"/>
  <c r="W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21" i="2"/>
  <c r="M22" i="2"/>
  <c r="M23" i="2"/>
  <c r="M24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R44" i="2"/>
  <c r="R56" i="2"/>
  <c r="N7" i="2"/>
  <c r="Q3" i="2"/>
  <c r="N4" i="2"/>
  <c r="N5" i="2"/>
  <c r="N6" i="2"/>
  <c r="N8" i="2"/>
  <c r="N9" i="2"/>
  <c r="N10" i="2"/>
  <c r="N11" i="2"/>
  <c r="L9" i="2" a="1"/>
  <c r="L9" i="2" s="1"/>
  <c r="M57" i="2" l="1"/>
  <c r="L57" i="2" a="1"/>
  <c r="L57" i="2" s="1"/>
  <c r="U54" i="2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W15" i="2"/>
  <c r="W16" i="2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V39" i="2" s="1"/>
  <c r="W39" i="2" s="1"/>
  <c r="M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W32" i="2" s="1"/>
  <c r="Q15" i="2"/>
  <c r="Q38" i="2"/>
  <c r="R38" i="2" s="1"/>
  <c r="S38" i="2" s="1"/>
  <c r="T38" i="2" s="1"/>
  <c r="V38" i="2" s="1"/>
  <c r="W38" i="2" s="1"/>
  <c r="V31" i="2"/>
  <c r="W31" i="2" s="1"/>
  <c r="Q37" i="2"/>
  <c r="R37" i="2" s="1"/>
  <c r="S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V36" i="2" s="1"/>
  <c r="W36" i="2" s="1"/>
  <c r="N62" i="2"/>
  <c r="N64" i="2" s="1" a="1"/>
  <c r="N64" i="2" s="1"/>
  <c r="N77" i="2"/>
  <c r="R41" i="2"/>
  <c r="N54" i="2" l="1"/>
  <c r="N36" i="2"/>
  <c r="N38" i="2"/>
  <c r="N37" i="2"/>
  <c r="M54" i="2"/>
  <c r="N39" i="2"/>
  <c r="N35" i="2"/>
  <c r="L54" i="2" a="1"/>
  <c r="L54" i="2" s="1"/>
  <c r="V12" i="2"/>
  <c r="L38" i="2" a="1"/>
  <c r="L38" i="2" s="1"/>
  <c r="U5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S66" i="2" l="1"/>
  <c r="R65" i="2"/>
  <c r="S60" i="2"/>
  <c r="S70" i="2"/>
  <c r="T40" i="2"/>
  <c r="S71" i="2"/>
  <c r="T76" i="2"/>
  <c r="T60" i="2" l="1"/>
  <c r="S65" i="2"/>
  <c r="T66" i="2"/>
  <c r="S78" i="2"/>
  <c r="T70" i="2"/>
  <c r="U40" i="2"/>
  <c r="U70" i="2"/>
  <c r="U76" i="2"/>
  <c r="T71" i="2"/>
  <c r="U60" i="2" l="1"/>
  <c r="T65" i="2"/>
  <c r="T78" i="2"/>
  <c r="V40" i="2"/>
  <c r="V76" i="2"/>
  <c r="U71" i="2"/>
  <c r="U78" i="2" s="1"/>
  <c r="V60" i="2" l="1"/>
  <c r="N40" i="2"/>
  <c r="V70" i="2"/>
  <c r="N14" i="2"/>
  <c r="V71" i="2"/>
  <c r="M40" i="2" l="1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M18" i="2" l="1"/>
  <c r="M15" i="2"/>
  <c r="L33" i="2" a="1"/>
  <c r="L33" i="2" s="1"/>
  <c r="M49" i="2"/>
  <c r="L24" i="2" a="1"/>
  <c r="L24" i="2" s="1"/>
  <c r="M19" i="2"/>
  <c r="M20" i="2"/>
  <c r="M46" i="2"/>
  <c r="L32" i="2" a="1"/>
  <c r="L32" i="2" s="1"/>
  <c r="L39" i="2" a="1"/>
  <c r="L39" i="2" s="1"/>
  <c r="L35" i="2" a="1"/>
  <c r="L35" i="2" s="1"/>
  <c r="M36" i="2"/>
  <c r="M31" i="2"/>
  <c r="M35" i="2"/>
  <c r="L34" i="2" a="1"/>
  <c r="L34" i="2" s="1"/>
  <c r="L49" i="2" a="1"/>
  <c r="L49" i="2" s="1"/>
  <c r="L36" i="2" a="1"/>
  <c r="L36" i="2" s="1"/>
  <c r="R64" i="2" a="1"/>
  <c r="R64" i="2" s="1"/>
  <c r="S62" i="2"/>
  <c r="S63" i="2" s="1"/>
  <c r="T69" i="2"/>
  <c r="U2" i="2"/>
  <c r="M7" i="2" l="1"/>
  <c r="M17" i="2"/>
  <c r="M26" i="2"/>
  <c r="M28" i="2"/>
  <c r="M30" i="2"/>
  <c r="L27" i="2" a="1"/>
  <c r="L27" i="2" s="1"/>
  <c r="M27" i="2"/>
  <c r="M29" i="2"/>
  <c r="L26" i="2" a="1"/>
  <c r="L26" i="2" s="1"/>
  <c r="M16" i="2"/>
  <c r="M32" i="2"/>
  <c r="M25" i="2"/>
  <c r="L30" i="2" a="1"/>
  <c r="L30" i="2" s="1"/>
  <c r="M33" i="2"/>
  <c r="M34" i="2"/>
  <c r="L50" i="2" a="1"/>
  <c r="L50" i="2" s="1"/>
  <c r="M37" i="2"/>
  <c r="L40" i="2" a="1"/>
  <c r="L40" i="2" s="1"/>
  <c r="L41" i="2" a="1"/>
  <c r="L41" i="2" s="1"/>
  <c r="S64" i="2" a="1"/>
  <c r="S64" i="2" s="1"/>
  <c r="T62" i="2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<sst xmlns="http://schemas.openxmlformats.org/spreadsheetml/2006/main" count="286" uniqueCount="132">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</sst>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5" fillId="2" borderId="1" xfId="1" quotePrefix="1" applyFont="1" applyFill="1" applyBorder="1" applyAlignment="1" applyProtection="1">
      <alignment horizontal="center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14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177.25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2659776"/>
        <c:axId val="242658992"/>
      </c:lineChart>
      <c:catAx>
        <c:axId val="2426597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2658992"/>
        <c:crosses val="autoZero"/>
        <c:auto val="0"/>
        <c:lblAlgn val="ctr"/>
        <c:lblOffset val="100"/>
        <c:noMultiLvlLbl val="0"/>
      </c:catAx>
      <c:valAx>
        <c:axId val="2426589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265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I14" activePane="bottomRight" state="frozen"/>
      <selection pane="topRight" activeCell="F1" sqref="F1"/>
      <selection pane="bottomLeft" activeCell="A3" sqref="A3"/>
      <selection pane="bottomRight" activeCell="U22" sqref="U22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3.8554687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3" t="s">
        <v>9</v>
      </c>
      <c r="H1" s="94"/>
      <c r="I1" s="94"/>
      <c r="J1" s="94"/>
      <c r="K1" s="95"/>
      <c r="L1" s="96" t="s">
        <v>11</v>
      </c>
      <c r="M1" s="97"/>
      <c r="N1" s="9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41421</v>
      </c>
      <c r="N7" s="56">
        <f t="shared" si="3"/>
        <v>48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>
        <f>0.5+2+1.25</f>
        <v>3.75</v>
      </c>
      <c r="V7" s="51" t="s">
        <v>112</v>
      </c>
      <c r="W7" s="51" t="s">
        <v>112</v>
      </c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U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>
        <f t="shared" si="1"/>
        <v>41414</v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">
        <v>113</v>
      </c>
      <c r="V15" s="51" t="str">
        <f t="shared" si="5"/>
        <v>X</v>
      </c>
      <c r="W15" s="51" t="str">
        <f t="shared" si="5"/>
        <v>X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>
        <f t="shared" si="1"/>
        <v>41421</v>
      </c>
      <c r="N16" s="56">
        <f t="shared" si="3"/>
        <v>1.75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>
        <v>0</v>
      </c>
      <c r="U16" s="51">
        <f>0.25+0.5</f>
        <v>0.75</v>
      </c>
      <c r="V16" s="51" t="s">
        <v>113</v>
      </c>
      <c r="W16" s="51" t="str">
        <f t="shared" si="5"/>
        <v>X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>
        <f t="shared" si="1"/>
        <v>41421</v>
      </c>
      <c r="N17" s="56">
        <f t="shared" si="3"/>
        <v>0.75</v>
      </c>
      <c r="O17" s="51"/>
      <c r="P17" s="51"/>
      <c r="Q17" s="51"/>
      <c r="R17" s="51"/>
      <c r="S17" s="51">
        <v>0.25</v>
      </c>
      <c r="T17" s="90">
        <v>0</v>
      </c>
      <c r="U17" s="51">
        <v>0.5</v>
      </c>
      <c r="V17" s="51" t="s">
        <v>112</v>
      </c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>
        <f t="shared" si="1"/>
        <v>41414</v>
      </c>
      <c r="N18" s="56">
        <f t="shared" si="3"/>
        <v>1</v>
      </c>
      <c r="O18" s="51"/>
      <c r="P18" s="51"/>
      <c r="Q18" s="51"/>
      <c r="R18" s="51"/>
      <c r="S18" s="51">
        <v>0.75</v>
      </c>
      <c r="T18" s="51">
        <v>0.25</v>
      </c>
      <c r="U18" s="51" t="s">
        <v>112</v>
      </c>
      <c r="V18" s="51" t="s">
        <v>112</v>
      </c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3.25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>
        <f>0.5+1</f>
        <v>1.5</v>
      </c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11.75</v>
      </c>
      <c r="O22" s="51"/>
      <c r="P22" s="51"/>
      <c r="Q22" s="51"/>
      <c r="R22" s="51"/>
      <c r="S22" s="51">
        <v>2</v>
      </c>
      <c r="T22" s="51">
        <v>4</v>
      </c>
      <c r="U22" s="51">
        <v>5.75</v>
      </c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 t="str">
        <f t="shared" si="1"/>
        <v/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41421</v>
      </c>
      <c r="N25" s="56">
        <f t="shared" si="3"/>
        <v>1</v>
      </c>
      <c r="O25" s="51"/>
      <c r="P25" s="51"/>
      <c r="Q25" s="51"/>
      <c r="R25" s="51"/>
      <c r="S25" s="51">
        <v>0.45</v>
      </c>
      <c r="T25" s="51">
        <v>0.3</v>
      </c>
      <c r="U25" s="51">
        <v>0.25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>
        <f t="array" ref="L26">IF(ISNA(INDEX($O$2:$DA$2,1,MATCH(1,IF($O26:$DM26,1),0))),"",INDEX($O$2:$DA$2,1,MATCH(1,IF($O26:$DM26,1),0)))</f>
        <v>41421</v>
      </c>
      <c r="M26" s="55">
        <f t="shared" si="1"/>
        <v>41421</v>
      </c>
      <c r="N26" s="56">
        <f t="shared" si="3"/>
        <v>0.75</v>
      </c>
      <c r="O26" s="51"/>
      <c r="P26" s="51"/>
      <c r="Q26" s="51"/>
      <c r="R26" s="51"/>
      <c r="S26" s="51"/>
      <c r="T26" s="51"/>
      <c r="U26" s="51">
        <f>0.75</f>
        <v>0.75</v>
      </c>
      <c r="V26" s="51" t="s">
        <v>112</v>
      </c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>
        <f t="array" ref="L27">IF(ISNA(INDEX($O$2:$DA$2,1,MATCH(1,IF($O27:$DM27,1),0))),"",INDEX($O$2:$DA$2,1,MATCH(1,IF($O27:$DM27,1),0)))</f>
        <v>41421</v>
      </c>
      <c r="M27" s="55">
        <f t="shared" si="1"/>
        <v>41421</v>
      </c>
      <c r="N27" s="56">
        <f t="shared" si="3"/>
        <v>0.25</v>
      </c>
      <c r="O27" s="51"/>
      <c r="P27" s="51"/>
      <c r="Q27" s="51"/>
      <c r="R27" s="51"/>
      <c r="S27" s="51"/>
      <c r="T27" s="51"/>
      <c r="U27" s="51">
        <v>0.25</v>
      </c>
      <c r="V27" s="51" t="s">
        <v>112</v>
      </c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>
        <f t="shared" si="1"/>
        <v>41421</v>
      </c>
      <c r="N28" s="56">
        <f t="shared" si="3"/>
        <v>5</v>
      </c>
      <c r="O28" s="51"/>
      <c r="P28" s="51"/>
      <c r="Q28" s="51"/>
      <c r="R28" s="51"/>
      <c r="S28" s="51">
        <v>2.5</v>
      </c>
      <c r="T28" s="51">
        <f>1.25+0.75</f>
        <v>2</v>
      </c>
      <c r="U28" s="51">
        <f>0.5</f>
        <v>0.5</v>
      </c>
      <c r="V28" s="51" t="s">
        <v>113</v>
      </c>
      <c r="W28" s="51" t="s">
        <v>113</v>
      </c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>
        <f t="shared" si="1"/>
        <v>41421</v>
      </c>
      <c r="N29" s="56">
        <f t="shared" si="3"/>
        <v>6.75</v>
      </c>
      <c r="O29" s="51"/>
      <c r="P29" s="51"/>
      <c r="Q29" s="51"/>
      <c r="R29" s="51"/>
      <c r="S29" s="51">
        <v>2.5</v>
      </c>
      <c r="T29" s="51">
        <f>2+1.5</f>
        <v>3.5</v>
      </c>
      <c r="U29" s="51">
        <f>0.75</f>
        <v>0.75</v>
      </c>
      <c r="V29" s="51" t="s">
        <v>113</v>
      </c>
      <c r="W29" s="51" t="s">
        <v>113</v>
      </c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>
        <f t="array" ref="L30">IF(ISNA(INDEX($O$2:$DA$2,1,MATCH(1,IF($O30:$DM30,1),0))),"",INDEX($O$2:$DA$2,1,MATCH(1,IF($O30:$DM30,1),0)))</f>
        <v>41421</v>
      </c>
      <c r="M30" s="55">
        <f t="shared" si="1"/>
        <v>41421</v>
      </c>
      <c r="N30" s="56">
        <f t="shared" si="3"/>
        <v>1</v>
      </c>
      <c r="O30" s="51"/>
      <c r="P30" s="51"/>
      <c r="Q30" s="51"/>
      <c r="R30" s="51"/>
      <c r="S30" s="51"/>
      <c r="T30" s="51"/>
      <c r="U30" s="51">
        <v>1</v>
      </c>
      <c r="V30" s="51" t="s">
        <v>113</v>
      </c>
      <c r="W30" s="51" t="s">
        <v>113</v>
      </c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>
        <f t="shared" si="1"/>
        <v>41421</v>
      </c>
      <c r="N32" s="56">
        <f t="shared" si="3"/>
        <v>1.25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>
        <v>0.5</v>
      </c>
      <c r="V32" s="51" t="s">
        <v>112</v>
      </c>
      <c r="W32" s="51" t="str">
        <f t="shared" si="9"/>
        <v>X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>
        <f t="shared" ref="M33:M34" si="11">IF(ISNA(MATCH("X",O33:W33,0)),"",INDEX($O$2:$X$2,1,MATCH("X",O33:W33,0)-1))</f>
        <v>41421</v>
      </c>
      <c r="N33" s="56">
        <f t="shared" ref="N33:N34" si="12">SUM(O33:CG33)</f>
        <v>4.5</v>
      </c>
      <c r="O33" s="51"/>
      <c r="P33" s="51"/>
      <c r="Q33" s="51"/>
      <c r="R33" s="51"/>
      <c r="S33" s="51"/>
      <c r="T33" s="51">
        <v>1.5</v>
      </c>
      <c r="U33" s="51">
        <f>0.75 + 1+0.5+0.75</f>
        <v>3</v>
      </c>
      <c r="V33" s="51" t="s">
        <v>112</v>
      </c>
      <c r="W33" s="51" t="s">
        <v>112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>
        <f t="shared" si="11"/>
        <v>41421</v>
      </c>
      <c r="N34" s="56">
        <f t="shared" si="12"/>
        <v>3.75</v>
      </c>
      <c r="O34" s="51"/>
      <c r="P34" s="51"/>
      <c r="Q34" s="51"/>
      <c r="R34" s="51"/>
      <c r="S34" s="51"/>
      <c r="T34" s="51">
        <v>2.75</v>
      </c>
      <c r="U34" s="51">
        <v>1</v>
      </c>
      <c r="V34" s="51" t="s">
        <v>113</v>
      </c>
      <c r="W34" s="51" t="s">
        <v>113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>
        <f t="shared" si="13"/>
        <v>41421</v>
      </c>
      <c r="N37" s="56">
        <f t="shared" ref="N37:N58" si="18">SUM(O37:CG37)</f>
        <v>2.75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>
        <v>1.5</v>
      </c>
      <c r="V37" s="51" t="s">
        <v>113</v>
      </c>
      <c r="W37" s="51" t="str">
        <f t="shared" si="16"/>
        <v>X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1.65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>
        <f>1.15+0.5</f>
        <v>1.65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1.75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>
        <f>0.75+1</f>
        <v>1.75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>
        <f t="array" ref="L40">IF(ISNA(INDEX($O$2:$DA$2,1,MATCH(1,IF($O38:$DM38,1),0))),"",INDEX($O$2:$DA$2,1,MATCH(1,IF($O38:$DM38,1),0)))</f>
        <v>41421</v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>
        <f t="array" ref="L41">IF(ISNA(INDEX($O$2:$DA$2,1,MATCH(1,IF($O39:$DM39,1),0))),"",INDEX($O$2:$DA$2,1,MATCH(1,IF($O39:$DM39,1),0)))</f>
        <v>41421</v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1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>
        <f>0.25+0.25+0.5</f>
        <v>1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>
        <f t="array" ref="L50">IF(ISNA(INDEX($O$2:$DA$2,1,MATCH(1,IF($O50:$DM50,1),0))),"",INDEX($O$2:$DA$2,1,MATCH(1,IF($O50:$DM50,1),0)))</f>
        <v>41421</v>
      </c>
      <c r="M50" s="55" t="str">
        <f t="shared" si="29"/>
        <v/>
      </c>
      <c r="N50" s="56">
        <f t="shared" si="18"/>
        <v>0.65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>
        <f>0.15+0.5</f>
        <v>0.65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26.799999999999997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2" t="s">
        <v>60</v>
      </c>
      <c r="J61" s="103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9.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9" t="s">
        <v>0</v>
      </c>
      <c r="D63" s="100"/>
      <c r="E63" s="100"/>
      <c r="F63" s="100"/>
      <c r="G63" s="100"/>
      <c r="H63" s="100"/>
      <c r="I63" s="101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 t="shared" ref="S65:T65" si="58">SUMIFS($K$3:$K$51,T3:T51,"=X")</f>
        <v>150.75</v>
      </c>
      <c r="T65" s="6">
        <f t="shared" si="58"/>
        <v>177.25</v>
      </c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9">SUM(S3:S51)+R66</f>
        <v>150.19999999999999</v>
      </c>
      <c r="T66" s="6">
        <f>SUM(T3:T51)+S66</f>
        <v>191.25</v>
      </c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1" t="s">
        <v>19</v>
      </c>
      <c r="N68" s="92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9.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218.05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619.20000000000005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837.25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0" sqref="H20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Mario</cp:lastModifiedBy>
  <dcterms:created xsi:type="dcterms:W3CDTF">2009-04-24T00:02:24Z</dcterms:created>
  <dcterms:modified xsi:type="dcterms:W3CDTF">2013-06-02T19:25:20Z</dcterms:modified>
</cp:coreProperties>
</file>