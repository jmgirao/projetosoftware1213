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O51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L38" i="2" a="1"/>
  <c r="L38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7" i="2" a="1"/>
  <c r="L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6" i="2" l="1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Q15" i="2" s="1"/>
  <c r="P16" i="2"/>
  <c r="P31" i="2"/>
  <c r="S31" i="2" s="1"/>
  <c r="T31" i="2" s="1"/>
  <c r="U31" i="2" s="1"/>
  <c r="V31" i="2" s="1"/>
  <c r="W31" i="2" s="1"/>
  <c r="P32" i="2"/>
  <c r="Q32" i="2" s="1"/>
  <c r="R32" i="2" s="1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N42" i="2" l="1"/>
  <c r="T14" i="2"/>
  <c r="T3" i="2"/>
  <c r="W12" i="2"/>
  <c r="W37" i="2"/>
  <c r="W13" i="2"/>
  <c r="N57" i="2"/>
  <c r="Q39" i="2"/>
  <c r="R39" i="2" s="1"/>
  <c r="K43" i="2"/>
  <c r="S39" i="2" l="1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W14" i="2" l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40" i="2" s="1"/>
  <c r="V56" i="2"/>
  <c r="U51" i="2"/>
  <c r="U58" i="2" s="1"/>
  <c r="V50" i="2" l="1"/>
  <c r="W38" i="2"/>
  <c r="W40" i="2" s="1"/>
  <c r="N14" i="2"/>
  <c r="V51" i="2"/>
  <c r="V58" i="2" l="1"/>
  <c r="W50" i="2"/>
  <c r="N38" i="2"/>
  <c r="W51" i="2"/>
  <c r="W58" i="2" l="1"/>
  <c r="N56" i="2"/>
  <c r="N31" i="2"/>
  <c r="N3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<sst xmlns="http://schemas.openxmlformats.org/spreadsheetml/2006/main" count="213" uniqueCount="123">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</sst>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967552"/>
        <c:axId val="185969904"/>
      </c:lineChart>
      <c:catAx>
        <c:axId val="185967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5969904"/>
        <c:crosses val="autoZero"/>
        <c:auto val="0"/>
        <c:lblAlgn val="ctr"/>
        <c:lblOffset val="100"/>
        <c:noMultiLvlLbl val="0"/>
      </c:catAx>
      <c:valAx>
        <c:axId val="185969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5967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15" activePane="bottomRight" state="frozen"/>
      <selection pane="topRight" activeCell="F1" sqref="F1"/>
      <selection pane="bottomLeft" activeCell="A3" sqref="A3"/>
      <selection pane="bottomRight" activeCell="E5" sqref="E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 t="str">
        <f t="array" ref="L3">IF(ISNA(INDEX($O$2:$DA$2,1,MATCH(1,IF($O3:$DM3,1),0))),"",INDEX($O$2:$DA$2,1,MATCH(1,IF($O3:$DM3,1),0)))</f>
        <v/>
      </c>
      <c r="M3" s="55" t="str">
        <f t="shared" ref="M3:M39" si="1">IF(ISNA(MATCH("X",O3:W3,0)),"",INDEX($O$2:$X$2,1,MATCH("X",O3:W3,0)-1))</f>
        <v/>
      </c>
      <c r="N3" s="56">
        <f t="shared" ref="N3:N39" si="2">SUM(O3:CG3)</f>
        <v>0</v>
      </c>
      <c r="O3" s="51"/>
      <c r="P3" s="51"/>
      <c r="Q3" s="51" t="str">
        <f t="shared" ref="Q3:W39" si="3">IF(ISNUMBER(P3)," ",IF(P3="X","X"," "))</f>
        <v xml:space="preserve"> </v>
      </c>
      <c r="R3" s="51" t="str">
        <f t="shared" si="3"/>
        <v xml:space="preserve"> </v>
      </c>
      <c r="S3" s="51" t="str">
        <f t="shared" ref="S3:T39" si="4">IF(ISNUMBER(R3)," ",IF(R3="X","X"," "))</f>
        <v xml:space="preserve"> </v>
      </c>
      <c r="T3" s="51" t="str">
        <f t="shared" si="4"/>
        <v xml:space="preserve"> </v>
      </c>
      <c r="U3" s="51" t="str">
        <f t="shared" ref="U3:U39" si="5">IF(ISNUMBER(T3)," ",IF(T3="X","X"," "))</f>
        <v xml:space="preserve"> </v>
      </c>
      <c r="V3" s="51" t="str">
        <f t="shared" si="3"/>
        <v xml:space="preserve"> </v>
      </c>
      <c r="W3" s="51" t="str">
        <f t="shared" si="3"/>
        <v xml:space="preserve"> 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 t="str">
        <f t="array" ref="L4">IF(ISNA(INDEX($O$2:$DA$2,1,MATCH(1,IF($O4:$DM4,1),0))),"",INDEX($O$2:$DA$2,1,MATCH(1,IF($O4:$DM4,1),0)))</f>
        <v/>
      </c>
      <c r="M4" s="55" t="str">
        <f t="shared" si="1"/>
        <v/>
      </c>
      <c r="N4" s="56">
        <f t="shared" si="2"/>
        <v>0</v>
      </c>
      <c r="O4" s="51"/>
      <c r="P4" s="51"/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2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 t="str">
        <f t="array" ref="L6">IF(ISNA(INDEX($O$2:$DA$2,1,MATCH(1,IF($O6:$DM6,1),0))),"",INDEX($O$2:$DA$2,1,MATCH(1,IF($O6:$DM6,1),0)))</f>
        <v/>
      </c>
      <c r="M6" s="55" t="str">
        <f t="shared" si="1"/>
        <v/>
      </c>
      <c r="N6" s="56">
        <f t="shared" si="2"/>
        <v>0</v>
      </c>
      <c r="O6" s="51"/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41379</v>
      </c>
      <c r="H7" s="45">
        <v>41393</v>
      </c>
      <c r="I7" s="77">
        <v>1</v>
      </c>
      <c r="J7" s="43">
        <v>1</v>
      </c>
      <c r="K7" s="3">
        <v>13</v>
      </c>
      <c r="L7" s="55" t="str">
        <f t="array" ref="L7">IF(ISNA(INDEX($O$2:$DA$2,1,MATCH(1,IF($O7:$DM7,1),0))),"",INDEX($O$2:$DA$2,1,MATCH(1,IF($O7:$DM7,1),0)))</f>
        <v/>
      </c>
      <c r="M7" s="55" t="str">
        <f t="shared" si="1"/>
        <v/>
      </c>
      <c r="N7" s="56">
        <f t="shared" si="2"/>
        <v>0</v>
      </c>
      <c r="O7" s="51"/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38.2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2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2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2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2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2"/>
        <v>0</v>
      </c>
      <c r="O12" s="81"/>
      <c r="P12" s="81"/>
      <c r="Q12" s="81"/>
      <c r="R12" s="81"/>
      <c r="S12" s="81" t="str">
        <f t="shared" si="4"/>
        <v xml:space="preserve"> </v>
      </c>
      <c r="T12" s="81" t="str">
        <f t="shared" si="4"/>
        <v xml:space="preserve"> </v>
      </c>
      <c r="U12" s="81" t="str">
        <f t="shared" si="5"/>
        <v xml:space="preserve"> </v>
      </c>
      <c r="V12" s="81" t="str">
        <f t="shared" si="3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2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5"/>
        <v xml:space="preserve"> </v>
      </c>
      <c r="V13" s="51" t="str">
        <f t="shared" si="3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2"/>
        <v>0</v>
      </c>
      <c r="O14" s="51"/>
      <c r="P14" s="51"/>
      <c r="Q14" s="51"/>
      <c r="R14" s="51"/>
      <c r="S14" s="51"/>
      <c r="T14" s="51" t="str">
        <f t="shared" si="4"/>
        <v xml:space="preserve"> </v>
      </c>
      <c r="U14" s="51" t="str">
        <f t="shared" si="5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2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4"/>
        <v xml:space="preserve"> </v>
      </c>
      <c r="T15" s="51" t="str">
        <f t="shared" si="4"/>
        <v xml:space="preserve"> </v>
      </c>
      <c r="U15" s="51" t="str">
        <f t="shared" si="5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2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4"/>
        <v xml:space="preserve"> </v>
      </c>
      <c r="T16" s="51" t="str">
        <f t="shared" si="4"/>
        <v xml:space="preserve"> </v>
      </c>
      <c r="U16" s="51" t="str">
        <f t="shared" si="5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2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2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2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2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2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2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2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2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2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2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2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2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2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2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2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4"/>
        <v xml:space="preserve"> </v>
      </c>
      <c r="T31" s="51" t="str">
        <f t="shared" si="4"/>
        <v xml:space="preserve"> </v>
      </c>
      <c r="U31" s="51" t="str">
        <f t="shared" si="5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2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4"/>
        <v xml:space="preserve"> </v>
      </c>
      <c r="T32" s="51" t="str">
        <f t="shared" si="4"/>
        <v xml:space="preserve"> </v>
      </c>
      <c r="U32" s="51" t="str">
        <f t="shared" si="5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2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4"/>
        <v xml:space="preserve"> </v>
      </c>
      <c r="T33" s="51" t="str">
        <f t="shared" si="4"/>
        <v xml:space="preserve"> </v>
      </c>
      <c r="U33" s="51" t="str">
        <f t="shared" si="5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2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4"/>
        <v xml:space="preserve"> </v>
      </c>
      <c r="T34" s="51" t="str">
        <f t="shared" si="4"/>
        <v xml:space="preserve"> </v>
      </c>
      <c r="U34" s="51" t="str">
        <f t="shared" si="5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2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4"/>
        <v xml:space="preserve"> </v>
      </c>
      <c r="T35" s="51" t="str">
        <f t="shared" si="4"/>
        <v xml:space="preserve"> </v>
      </c>
      <c r="U35" s="51" t="str">
        <f t="shared" si="5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2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4"/>
        <v xml:space="preserve"> </v>
      </c>
      <c r="T36" s="51" t="str">
        <f t="shared" si="4"/>
        <v xml:space="preserve"> </v>
      </c>
      <c r="U36" s="51" t="str">
        <f t="shared" si="5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2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4"/>
        <v xml:space="preserve"> </v>
      </c>
      <c r="T37" s="51" t="str">
        <f t="shared" si="4"/>
        <v xml:space="preserve"> </v>
      </c>
      <c r="U37" s="51" t="str">
        <f t="shared" si="5"/>
        <v xml:space="preserve"> </v>
      </c>
      <c r="V37" s="51" t="str">
        <f t="shared" si="3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/>
      <c r="C38" s="69"/>
      <c r="D38" s="69"/>
      <c r="E38" s="69"/>
      <c r="F38" s="17"/>
      <c r="G38" s="45" t="str">
        <f t="shared" ref="G38:G39" ca="1" si="19">IF(OR(ISBLANK($G$3),ISBLANK($C38)),"",OFFSET($O$2,0,I38+MATCH(G37,$O$2:$W$2,0)-1))</f>
        <v/>
      </c>
      <c r="H38" s="45" t="str">
        <f t="shared" ref="H38" ca="1" si="20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2"/>
        <v>0</v>
      </c>
      <c r="O38" s="51"/>
      <c r="P38" s="51" t="str">
        <f t="shared" ref="P38:W38" si="21">IF(ISNUMBER(O38)," ",IF(O38="X","X"," "))</f>
        <v xml:space="preserve"> </v>
      </c>
      <c r="Q38" s="51" t="str">
        <f t="shared" si="21"/>
        <v xml:space="preserve"> </v>
      </c>
      <c r="R38" s="51" t="str">
        <f t="shared" si="21"/>
        <v xml:space="preserve"> </v>
      </c>
      <c r="S38" s="51" t="str">
        <f t="shared" si="4"/>
        <v xml:space="preserve"> </v>
      </c>
      <c r="T38" s="51" t="str">
        <f t="shared" si="4"/>
        <v xml:space="preserve"> </v>
      </c>
      <c r="U38" s="51" t="str">
        <f t="shared" si="5"/>
        <v xml:space="preserve"> </v>
      </c>
      <c r="V38" s="51" t="str">
        <f t="shared" si="3"/>
        <v xml:space="preserve"> </v>
      </c>
      <c r="W38" s="51" t="str">
        <f t="shared" si="21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4"/>
      <c r="D39" s="4"/>
      <c r="E39" s="4"/>
      <c r="F39" s="17"/>
      <c r="G39" s="45" t="str">
        <f t="shared" ca="1" si="19"/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2"/>
        <v>0</v>
      </c>
      <c r="O39" s="51"/>
      <c r="P39" s="51" t="str">
        <f t="shared" ref="P39" si="22">IF(ISNUMBER(O39)," ",IF(O39="X","X"," "))</f>
        <v xml:space="preserve"> </v>
      </c>
      <c r="Q39" s="51" t="str">
        <f t="shared" ref="Q39" si="23">IF(ISNUMBER(P39)," ",IF(P39="X","X"," "))</f>
        <v xml:space="preserve"> </v>
      </c>
      <c r="R39" s="51" t="str">
        <f t="shared" ref="R39" si="24">IF(ISNUMBER(Q39)," ",IF(Q39="X","X"," "))</f>
        <v xml:space="preserve"> </v>
      </c>
      <c r="S39" s="51" t="str">
        <f t="shared" si="4"/>
        <v xml:space="preserve"> </v>
      </c>
      <c r="T39" s="51" t="str">
        <f t="shared" si="4"/>
        <v xml:space="preserve"> </v>
      </c>
      <c r="U39" s="51" t="str">
        <f t="shared" si="5"/>
        <v xml:space="preserve"> </v>
      </c>
      <c r="V39" s="51" t="str">
        <f t="shared" si="3"/>
        <v xml:space="preserve"> </v>
      </c>
      <c r="W39" s="51" t="str">
        <f t="shared" ref="W39" si="25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6">SUM(O3:O39)</f>
        <v>0</v>
      </c>
      <c r="P40" s="56">
        <f t="shared" si="26"/>
        <v>0</v>
      </c>
      <c r="Q40" s="56">
        <f t="shared" si="26"/>
        <v>0</v>
      </c>
      <c r="R40" s="56">
        <f t="shared" si="26"/>
        <v>0</v>
      </c>
      <c r="S40" s="56">
        <f t="shared" si="26"/>
        <v>0</v>
      </c>
      <c r="T40" s="56">
        <f t="shared" si="26"/>
        <v>0</v>
      </c>
      <c r="U40" s="56">
        <f t="shared" si="26"/>
        <v>0</v>
      </c>
      <c r="V40" s="56">
        <f t="shared" si="26"/>
        <v>0</v>
      </c>
      <c r="W40" s="56">
        <f t="shared" si="26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8.75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 t="shared" ref="N42:W42" si="27">IF(OR(ISBLANK(O2),O2=$X$2),"",O2)</f>
        <v>41372</v>
      </c>
      <c r="O42" s="27">
        <f t="shared" si="27"/>
        <v>41379</v>
      </c>
      <c r="P42" s="27">
        <f t="shared" si="27"/>
        <v>41386</v>
      </c>
      <c r="Q42" s="27">
        <f t="shared" si="27"/>
        <v>41393</v>
      </c>
      <c r="R42" s="27">
        <f t="shared" si="27"/>
        <v>41407</v>
      </c>
      <c r="S42" s="27">
        <f t="shared" si="27"/>
        <v>41414</v>
      </c>
      <c r="T42" s="27">
        <f t="shared" si="27"/>
        <v>41421</v>
      </c>
      <c r="U42" s="27">
        <f t="shared" si="27"/>
        <v>41428</v>
      </c>
      <c r="V42" s="27">
        <f t="shared" si="27"/>
        <v>41435</v>
      </c>
      <c r="W42" s="27" t="str">
        <f t="shared" si="27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8">IF(O42="","",N43)</f>
        <v>296</v>
      </c>
      <c r="P43" s="50">
        <f t="shared" si="28"/>
        <v>296</v>
      </c>
      <c r="Q43" s="50">
        <f t="shared" si="28"/>
        <v>296</v>
      </c>
      <c r="R43" s="50">
        <f t="shared" si="28"/>
        <v>296</v>
      </c>
      <c r="S43" s="50">
        <f t="shared" si="28"/>
        <v>296</v>
      </c>
      <c r="T43" s="50">
        <f t="shared" si="28"/>
        <v>296</v>
      </c>
      <c r="U43" s="50">
        <f t="shared" si="28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0</v>
      </c>
      <c r="P45" s="6">
        <f>SUMIFS($K$3:$K$39,Q3:Q39,"=X")</f>
        <v>0</v>
      </c>
      <c r="Q45" s="6">
        <f>SUMIFS($K$3:$K$39,R3:R39,"=X")</f>
        <v>0</v>
      </c>
      <c r="R45" s="6">
        <f>SUMIFS($K$3:$K$39,S3:S39,"=X")</f>
        <v>0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0</v>
      </c>
      <c r="P46" s="6">
        <f>SUM(P3:P39)+O46</f>
        <v>0</v>
      </c>
      <c r="Q46" s="6">
        <f>SUM(Q3:Q39)+P46</f>
        <v>0</v>
      </c>
      <c r="R46" s="6">
        <f>SUM(R3:R39)+Q46</f>
        <v>0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8.75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 t="shared" ref="O49:V49" si="29">O2</f>
        <v>41372</v>
      </c>
      <c r="P49" s="39">
        <f t="shared" si="29"/>
        <v>41379</v>
      </c>
      <c r="Q49" s="39">
        <f t="shared" si="29"/>
        <v>41386</v>
      </c>
      <c r="R49" s="39">
        <f t="shared" si="29"/>
        <v>41393</v>
      </c>
      <c r="S49" s="39">
        <f t="shared" si="29"/>
        <v>41407</v>
      </c>
      <c r="T49" s="39">
        <f t="shared" si="29"/>
        <v>41414</v>
      </c>
      <c r="U49" s="39">
        <f t="shared" si="29"/>
        <v>41421</v>
      </c>
      <c r="V49" s="39">
        <f t="shared" si="29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30">SUMIF($F$3:$F$39,$M50,O$3:O$39)</f>
        <v>0</v>
      </c>
      <c r="P50" s="37">
        <f t="shared" si="30"/>
        <v>0</v>
      </c>
      <c r="Q50" s="37">
        <f t="shared" si="30"/>
        <v>0</v>
      </c>
      <c r="R50" s="37">
        <f t="shared" si="30"/>
        <v>0</v>
      </c>
      <c r="S50" s="37">
        <f t="shared" si="30"/>
        <v>0</v>
      </c>
      <c r="T50" s="37">
        <f t="shared" si="30"/>
        <v>0</v>
      </c>
      <c r="U50" s="37">
        <f t="shared" si="30"/>
        <v>0</v>
      </c>
      <c r="V50" s="37">
        <f t="shared" si="30"/>
        <v>0</v>
      </c>
      <c r="W50" s="37">
        <f t="shared" si="30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30"/>
        <v>0</v>
      </c>
      <c r="P51" s="37">
        <f t="shared" si="30"/>
        <v>0</v>
      </c>
      <c r="Q51" s="37">
        <f t="shared" si="30"/>
        <v>0</v>
      </c>
      <c r="R51" s="37">
        <f t="shared" si="30"/>
        <v>0</v>
      </c>
      <c r="S51" s="37">
        <f t="shared" si="30"/>
        <v>0</v>
      </c>
      <c r="T51" s="37">
        <f t="shared" si="30"/>
        <v>0</v>
      </c>
      <c r="U51" s="37">
        <f t="shared" si="30"/>
        <v>0</v>
      </c>
      <c r="V51" s="37">
        <f t="shared" si="30"/>
        <v>0</v>
      </c>
      <c r="W51" s="37">
        <f t="shared" si="30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31">SUMIF($F$3:$F$39,$M56,O$3:O$39)</f>
        <v>0</v>
      </c>
      <c r="P56" s="37">
        <f t="shared" si="31"/>
        <v>0</v>
      </c>
      <c r="Q56" s="37">
        <f t="shared" si="31"/>
        <v>0</v>
      </c>
      <c r="R56" s="37">
        <f t="shared" si="31"/>
        <v>0</v>
      </c>
      <c r="S56" s="37">
        <f t="shared" si="31"/>
        <v>0</v>
      </c>
      <c r="T56" s="37">
        <f t="shared" si="31"/>
        <v>0</v>
      </c>
      <c r="U56" s="37">
        <f t="shared" si="31"/>
        <v>0</v>
      </c>
      <c r="V56" s="37">
        <f t="shared" si="31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31"/>
        <v>0</v>
      </c>
      <c r="P57" s="37">
        <f t="shared" si="31"/>
        <v>0</v>
      </c>
      <c r="Q57" s="37">
        <f t="shared" si="31"/>
        <v>0</v>
      </c>
      <c r="R57" s="37">
        <f t="shared" si="31"/>
        <v>0</v>
      </c>
      <c r="S57" s="37">
        <f t="shared" si="31"/>
        <v>0</v>
      </c>
      <c r="T57" s="37">
        <f t="shared" si="31"/>
        <v>0</v>
      </c>
      <c r="U57" s="37">
        <f t="shared" si="31"/>
        <v>0</v>
      </c>
      <c r="V57" s="37">
        <f t="shared" si="31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2">SUM(O50:O57)</f>
        <v>0</v>
      </c>
      <c r="P58" s="48">
        <f t="shared" si="32"/>
        <v>0</v>
      </c>
      <c r="Q58" s="48">
        <f t="shared" si="32"/>
        <v>0</v>
      </c>
      <c r="R58" s="48">
        <f t="shared" si="32"/>
        <v>0</v>
      </c>
      <c r="S58" s="48">
        <f t="shared" si="32"/>
        <v>0</v>
      </c>
      <c r="T58" s="48">
        <f t="shared" si="32"/>
        <v>0</v>
      </c>
      <c r="U58" s="48">
        <f t="shared" si="32"/>
        <v>0</v>
      </c>
      <c r="V58" s="48">
        <f t="shared" si="32"/>
        <v>0</v>
      </c>
      <c r="W58" s="48">
        <f t="shared" si="32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2013-04-13T17:48:41Z</dcterms:modified>
</cp:coreProperties>
</file>