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ao Girao\Desktop\"/>
    </mc:Choice>
  </mc:AlternateContent>
  <bookViews>
    <workbookView minimized="1" xWindow="0" yWindow="0" windowWidth="20490" windowHeight="775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W2" i="2" l="1"/>
  <c r="O24" i="2" l="1"/>
  <c r="O21" i="2"/>
  <c r="P21" i="2" s="1"/>
  <c r="Q21" i="2" s="1"/>
  <c r="R21" i="2" s="1"/>
  <c r="S21" i="2" s="1"/>
  <c r="T21" i="2" s="1"/>
  <c r="U21" i="2" s="1"/>
  <c r="O20" i="2"/>
  <c r="P20" i="2"/>
  <c r="Q20" i="2"/>
  <c r="R20" i="2"/>
  <c r="S20" i="2"/>
  <c r="T20" i="2"/>
  <c r="U20" i="2"/>
  <c r="V20" i="2"/>
  <c r="W20" i="2"/>
  <c r="N20" i="2"/>
  <c r="V7" i="2"/>
  <c r="W7" i="2"/>
  <c r="V8" i="2"/>
  <c r="W8" i="2" s="1"/>
  <c r="V10" i="2"/>
  <c r="W10" i="2" s="1"/>
  <c r="V11" i="2"/>
  <c r="W11" i="2"/>
  <c r="V12" i="2"/>
  <c r="W12" i="2" s="1"/>
  <c r="V13" i="2"/>
  <c r="W13" i="2"/>
  <c r="V14" i="2"/>
  <c r="W14" i="2" s="1"/>
  <c r="J18" i="2"/>
  <c r="P18" i="2"/>
  <c r="Q18" i="2"/>
  <c r="R18" i="2"/>
  <c r="O18" i="2"/>
  <c r="S4" i="2"/>
  <c r="S5" i="2"/>
  <c r="S7" i="2"/>
  <c r="T7" i="2" s="1"/>
  <c r="U7" i="2" s="1"/>
  <c r="S8" i="2"/>
  <c r="S17" i="2"/>
  <c r="T17" i="2" s="1"/>
  <c r="U17" i="2" s="1"/>
  <c r="V17" i="2" s="1"/>
  <c r="T4" i="2"/>
  <c r="U4" i="2" s="1"/>
  <c r="V4" i="2" s="1"/>
  <c r="T5" i="2"/>
  <c r="U5" i="2" s="1"/>
  <c r="V5" i="2" s="1"/>
  <c r="T8" i="2"/>
  <c r="U8" i="2" s="1"/>
  <c r="G17" i="2"/>
  <c r="G4" i="2"/>
  <c r="G5" i="2" s="1"/>
  <c r="G6" i="2" s="1"/>
  <c r="O2" i="2"/>
  <c r="H17" i="2"/>
  <c r="Q3" i="2"/>
  <c r="R3" i="2" s="1"/>
  <c r="S3" i="2" s="1"/>
  <c r="P7" i="2"/>
  <c r="Q7" i="2"/>
  <c r="P8" i="2"/>
  <c r="P9" i="2"/>
  <c r="S9" i="2" s="1"/>
  <c r="T9" i="2" s="1"/>
  <c r="U9" i="2" s="1"/>
  <c r="V9" i="2" s="1"/>
  <c r="W9" i="2" s="1"/>
  <c r="P10" i="2"/>
  <c r="Q10" i="2" s="1"/>
  <c r="R10" i="2" s="1"/>
  <c r="S10" i="2" s="1"/>
  <c r="T10" i="2" s="1"/>
  <c r="U10" i="2" s="1"/>
  <c r="P11" i="2"/>
  <c r="Q11" i="2" s="1"/>
  <c r="R11" i="2" s="1"/>
  <c r="S11" i="2" s="1"/>
  <c r="T11" i="2" s="1"/>
  <c r="U11" i="2" s="1"/>
  <c r="P12" i="2"/>
  <c r="Q12" i="2" s="1"/>
  <c r="R12" i="2" s="1"/>
  <c r="S12" i="2" s="1"/>
  <c r="T12" i="2" s="1"/>
  <c r="U12" i="2" s="1"/>
  <c r="P13" i="2"/>
  <c r="Q13" i="2" s="1"/>
  <c r="R13" i="2" s="1"/>
  <c r="S13" i="2" s="1"/>
  <c r="T13" i="2" s="1"/>
  <c r="U13" i="2" s="1"/>
  <c r="P14" i="2"/>
  <c r="Q14" i="2" s="1"/>
  <c r="R14" i="2" s="1"/>
  <c r="S14" i="2" s="1"/>
  <c r="T14" i="2" s="1"/>
  <c r="U14" i="2" s="1"/>
  <c r="P15" i="2"/>
  <c r="Q15" i="2" s="1"/>
  <c r="R15" i="2" s="1"/>
  <c r="S15" i="2" s="1"/>
  <c r="T15" i="2" s="1"/>
  <c r="U15" i="2" s="1"/>
  <c r="V15" i="2" s="1"/>
  <c r="O31" i="2"/>
  <c r="P31" i="2"/>
  <c r="Q31" i="2"/>
  <c r="R31" i="2"/>
  <c r="S31" i="2"/>
  <c r="T31" i="2"/>
  <c r="U31" i="2"/>
  <c r="V31" i="2"/>
  <c r="W31" i="2"/>
  <c r="P17" i="2"/>
  <c r="S18" i="2" l="1"/>
  <c r="T6" i="2"/>
  <c r="T3" i="2"/>
  <c r="W4" i="2"/>
  <c r="W15" i="2"/>
  <c r="W5" i="2"/>
  <c r="N31" i="2"/>
  <c r="Q17" i="2"/>
  <c r="R17" i="2" s="1"/>
  <c r="W17" i="2" s="1"/>
  <c r="K21" i="2"/>
  <c r="K19" i="2" s="1"/>
  <c r="U6" i="2" l="1"/>
  <c r="T18" i="2"/>
  <c r="U3" i="2"/>
  <c r="M17" i="2"/>
  <c r="N17" i="2"/>
  <c r="L17" i="2" a="1"/>
  <c r="L17" i="2" s="1"/>
  <c r="V6" i="2" l="1"/>
  <c r="U18" i="2"/>
  <c r="V3" i="2"/>
  <c r="W6" i="2" l="1"/>
  <c r="W18" i="2" s="1"/>
  <c r="V18" i="2"/>
  <c r="W3" i="2"/>
  <c r="O29" i="2"/>
  <c r="O28" i="2"/>
  <c r="O30" i="2"/>
  <c r="P16" i="2"/>
  <c r="O23" i="2" l="1"/>
  <c r="P24" i="2"/>
  <c r="Q24" i="2" s="1"/>
  <c r="Q16" i="2"/>
  <c r="P23" i="2" s="1"/>
  <c r="Q30" i="2"/>
  <c r="P28" i="2"/>
  <c r="O32" i="2"/>
  <c r="M13" i="2"/>
  <c r="M11" i="2"/>
  <c r="M10" i="2"/>
  <c r="N5" i="2"/>
  <c r="N13" i="2"/>
  <c r="N11" i="2"/>
  <c r="N10" i="2"/>
  <c r="N7" i="2"/>
  <c r="M7" i="2"/>
  <c r="Q28" i="2"/>
  <c r="L14" i="2" a="1"/>
  <c r="L14" i="2" s="1"/>
  <c r="L10" i="2" a="1"/>
  <c r="L10" i="2" s="1"/>
  <c r="M12" i="2"/>
  <c r="P29" i="2"/>
  <c r="P30" i="2"/>
  <c r="L13" i="2" a="1"/>
  <c r="L13" i="2" s="1"/>
  <c r="L11" i="2" a="1"/>
  <c r="L11" i="2" s="1"/>
  <c r="R16" i="2" l="1"/>
  <c r="Q23" i="2" s="1"/>
  <c r="M15" i="2"/>
  <c r="P32" i="2"/>
  <c r="R30" i="2"/>
  <c r="N12" i="2"/>
  <c r="L15" i="2" a="1"/>
  <c r="L15" i="2" s="1"/>
  <c r="N15" i="2"/>
  <c r="Q29" i="2"/>
  <c r="Q32" i="2" s="1"/>
  <c r="R28" i="2"/>
  <c r="N8" i="2"/>
  <c r="L12" i="2" a="1"/>
  <c r="L12" i="2" s="1"/>
  <c r="M14" i="2"/>
  <c r="N14" i="2"/>
  <c r="R24" i="2" l="1"/>
  <c r="S16" i="2"/>
  <c r="R23" i="2" s="1"/>
  <c r="S28" i="2"/>
  <c r="S30" i="2"/>
  <c r="R29" i="2"/>
  <c r="R32" i="2" s="1"/>
  <c r="T16" i="2" l="1"/>
  <c r="S29" i="2"/>
  <c r="S32" i="2" s="1"/>
  <c r="T28" i="2"/>
  <c r="T30" i="2"/>
  <c r="U16" i="2" l="1"/>
  <c r="U28" i="2"/>
  <c r="U30" i="2"/>
  <c r="T29" i="2"/>
  <c r="T32" i="2" s="1"/>
  <c r="V16" i="2" l="1"/>
  <c r="V30" i="2"/>
  <c r="V28" i="2"/>
  <c r="U29" i="2"/>
  <c r="U32" i="2" s="1"/>
  <c r="W16" i="2" l="1"/>
  <c r="N6" i="2"/>
  <c r="V29" i="2"/>
  <c r="V32" i="2" s="1"/>
  <c r="W30" i="2"/>
  <c r="W28" i="2" l="1"/>
  <c r="L16" i="2" a="1"/>
  <c r="L16" i="2" s="1"/>
  <c r="M16" i="2"/>
  <c r="N16" i="2"/>
  <c r="W29" i="2"/>
  <c r="W32" i="2" l="1"/>
  <c r="N30" i="2"/>
  <c r="N9" i="2"/>
  <c r="N3" i="2"/>
  <c r="N28" i="2" l="1"/>
  <c r="N29" i="2"/>
  <c r="N4" i="2"/>
  <c r="N32" i="2" l="1"/>
  <c r="P2" i="2" l="1"/>
  <c r="L4" i="2" a="1"/>
  <c r="L4" i="2" s="1"/>
  <c r="M3" i="2"/>
  <c r="O27" i="2"/>
  <c r="L3" i="2" a="1"/>
  <c r="L3" i="2" s="1"/>
  <c r="L5" i="2" l="1" a="1"/>
  <c r="L5" i="2" s="1"/>
  <c r="Q2" i="2"/>
  <c r="P27" i="2"/>
  <c r="H6" i="2" l="1"/>
  <c r="G7" i="2"/>
  <c r="G8" i="2" s="1"/>
  <c r="M5" i="2"/>
  <c r="L8" i="2" a="1"/>
  <c r="L8" i="2" s="1"/>
  <c r="L6" i="2" a="1"/>
  <c r="L6" i="2" s="1"/>
  <c r="Q27" i="2"/>
  <c r="R2" i="2"/>
  <c r="M4" i="2"/>
  <c r="H4" i="2"/>
  <c r="G9" i="2" l="1"/>
  <c r="M37" i="2"/>
  <c r="S2" i="2"/>
  <c r="R27" i="2"/>
  <c r="M8" i="2" l="1"/>
  <c r="M6" i="2"/>
  <c r="T2" i="2"/>
  <c r="G10" i="2" s="1"/>
  <c r="G11" i="2" s="1"/>
  <c r="G12" i="2" s="1"/>
  <c r="G13" i="2" s="1"/>
  <c r="G14" i="2" s="1"/>
  <c r="S27" i="2"/>
  <c r="H5" i="2"/>
  <c r="H7" i="2"/>
  <c r="T27" i="2" l="1"/>
  <c r="L9" i="2" a="1"/>
  <c r="L9" i="2" s="1"/>
  <c r="U2" i="2"/>
  <c r="G15" i="2" s="1"/>
  <c r="G16" i="2" s="1"/>
  <c r="H8" i="2"/>
  <c r="V2" i="2" l="1"/>
  <c r="H13" i="2" s="1"/>
  <c r="L7" i="2" a="1"/>
  <c r="L7" i="2" s="1"/>
  <c r="U27" i="2"/>
  <c r="H11" i="2"/>
  <c r="H14" i="2"/>
  <c r="H3" i="2"/>
  <c r="V27" i="2" l="1"/>
  <c r="M9" i="2"/>
  <c r="H16" i="2"/>
  <c r="H9" i="2"/>
  <c r="H12" i="2"/>
  <c r="H15" i="2"/>
  <c r="H10" i="2"/>
  <c r="N22" i="2" l="1" a="1"/>
  <c r="N22" i="2" s="1"/>
  <c r="O22" i="2" s="1" a="1"/>
  <c r="O22" i="2" s="1"/>
  <c r="P22" i="2" s="1" a="1"/>
  <c r="P22" i="2" s="1"/>
  <c r="Q22" i="2" s="1" a="1"/>
  <c r="Q22" i="2" s="1"/>
  <c r="R22" i="2" s="1" a="1"/>
  <c r="R22" i="2" s="1"/>
  <c r="S22" i="2" s="1" a="1"/>
  <c r="S22" i="2" s="1"/>
  <c r="T22" i="2" s="1" a="1"/>
  <c r="T22" i="2" s="1"/>
  <c r="U22" i="2" s="1" a="1"/>
  <c r="U22" i="2" s="1"/>
  <c r="J21" i="2"/>
</calcChain>
</file>

<file path=xl/comments1.xml><?xml version="1.0" encoding="utf-8"?>
<comments xmlns="http://schemas.openxmlformats.org/spreadsheetml/2006/main">
  <authors>
    <author>João Cunha</author>
  </authors>
  <commentList>
    <comment ref="J21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21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<sst xmlns="http://schemas.openxmlformats.org/spreadsheetml/2006/main" count="131" uniqueCount="87">
  <si>
    <t>Budget at Completion (BAC)</t>
  </si>
  <si>
    <t>ID</t>
  </si>
  <si>
    <t>Task Level1</t>
  </si>
  <si>
    <t>Task Level2</t>
  </si>
  <si>
    <t>Task Level3</t>
  </si>
  <si>
    <t>Resource</t>
  </si>
  <si>
    <t>Task 1</t>
  </si>
  <si>
    <t>FP</t>
  </si>
  <si>
    <t>Task 2</t>
  </si>
  <si>
    <t>Task 2.1</t>
  </si>
  <si>
    <t>Task 2.1.1</t>
  </si>
  <si>
    <t>Task 2.1.2</t>
  </si>
  <si>
    <t>Task 2.2</t>
  </si>
  <si>
    <t>Task 3</t>
  </si>
  <si>
    <t>JC</t>
  </si>
  <si>
    <t>Task 4</t>
  </si>
  <si>
    <t>Task 4.1</t>
  </si>
  <si>
    <t>Task 4.2</t>
  </si>
  <si>
    <t>Task 4.3</t>
  </si>
  <si>
    <t>Task 4.3.1</t>
  </si>
  <si>
    <t>Task 4.3.2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</si>
  <si>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</si>
  <si>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</si>
  <si>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</si>
  <si>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</si>
  <si>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</si>
  <si>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</si>
  <si>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</si>
  <si>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</si>
  <si>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</si>
  <si>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</si>
  <si>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</si>
  <si>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</si>
  <si>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</si>
  <si>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</si>
  <si>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</si>
  <si>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t>Task5</t>
  </si>
  <si>
    <t>X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</si>
  <si>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</si>
  <si>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</si>
  <si>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</si>
  <si>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</si>
  <si>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</si>
  <si>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</si>
  <si>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</si>
  <si>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</si>
  <si>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MV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</si>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</sst>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Tracking'!$C$21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Tracking'!$N$20:$W$20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Tracking'!$N$21:$W$21</c:f>
              <c:numCache>
                <c:formatCode>General</c:formatCode>
                <c:ptCount val="10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Tracking'!$C$22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Tracking'!$N$20:$W$20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Tracking'!$N$22:$W$22</c:f>
              <c:numCache>
                <c:formatCode>General</c:formatCode>
                <c:ptCount val="10"/>
                <c:pt idx="0">
                  <c:v>0</c:v>
                </c:pt>
                <c:pt idx="1">
                  <c:v>12</c:v>
                </c:pt>
                <c:pt idx="2">
                  <c:v>38</c:v>
                </c:pt>
                <c:pt idx="3">
                  <c:v>46</c:v>
                </c:pt>
                <c:pt idx="4">
                  <c:v>66</c:v>
                </c:pt>
                <c:pt idx="5">
                  <c:v>78</c:v>
                </c:pt>
                <c:pt idx="6">
                  <c:v>106</c:v>
                </c:pt>
                <c:pt idx="7">
                  <c:v>140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Tracking'!$C$23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Tracking'!$N$20:$W$20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Tracking'!$N$23:$W$23</c:f>
              <c:numCache>
                <c:formatCode>General</c:formatCode>
                <c:ptCount val="10"/>
                <c:pt idx="0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50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Tracking'!$C$24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Tracking'!$N$20:$W$20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Tracking'!$N$24:$W$24</c:f>
              <c:numCache>
                <c:formatCode>General</c:formatCode>
                <c:ptCount val="10"/>
                <c:pt idx="0">
                  <c:v>0</c:v>
                </c:pt>
                <c:pt idx="1">
                  <c:v>16</c:v>
                </c:pt>
                <c:pt idx="2">
                  <c:v>37</c:v>
                </c:pt>
                <c:pt idx="3">
                  <c:v>54</c:v>
                </c:pt>
                <c:pt idx="4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252768"/>
        <c:axId val="189253552"/>
      </c:lineChart>
      <c:catAx>
        <c:axId val="189252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9253552"/>
        <c:crosses val="autoZero"/>
        <c:auto val="0"/>
        <c:lblAlgn val="ctr"/>
        <c:lblOffset val="100"/>
        <c:noMultiLvlLbl val="0"/>
      </c:catAx>
      <c:valAx>
        <c:axId val="1892535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252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42</v>
      </c>
    </row>
    <row r="3" spans="2:2" x14ac:dyDescent="0.2">
      <c r="B3" s="14"/>
    </row>
    <row r="4" spans="2:2" x14ac:dyDescent="0.2">
      <c r="B4" s="15" t="s">
        <v>58</v>
      </c>
    </row>
    <row r="5" spans="2:2" x14ac:dyDescent="0.2">
      <c r="B5" s="7" t="s">
        <v>59</v>
      </c>
    </row>
    <row r="6" spans="2:2" x14ac:dyDescent="0.2">
      <c r="B6" s="7" t="s">
        <v>60</v>
      </c>
    </row>
    <row r="7" spans="2:2" x14ac:dyDescent="0.2">
      <c r="B7" s="7" t="s">
        <v>80</v>
      </c>
    </row>
    <row r="8" spans="2:2" x14ac:dyDescent="0.2">
      <c r="B8" s="7" t="s">
        <v>61</v>
      </c>
    </row>
    <row r="9" spans="2:2" x14ac:dyDescent="0.2">
      <c r="B9" s="7" t="s">
        <v>62</v>
      </c>
    </row>
    <row r="10" spans="2:2" x14ac:dyDescent="0.2">
      <c r="B10" s="7" t="s">
        <v>63</v>
      </c>
    </row>
    <row r="11" spans="2:2" x14ac:dyDescent="0.2">
      <c r="B11" s="7" t="s">
        <v>64</v>
      </c>
    </row>
    <row r="12" spans="2:2" x14ac:dyDescent="0.2">
      <c r="B12" s="7" t="s">
        <v>65</v>
      </c>
    </row>
    <row r="13" spans="2:2" x14ac:dyDescent="0.2">
      <c r="B13" s="7"/>
    </row>
    <row r="14" spans="2:2" x14ac:dyDescent="0.2">
      <c r="B14" s="15" t="s">
        <v>48</v>
      </c>
    </row>
    <row r="15" spans="2:2" x14ac:dyDescent="0.2">
      <c r="B15" s="7" t="s">
        <v>55</v>
      </c>
    </row>
    <row r="16" spans="2:2" x14ac:dyDescent="0.2">
      <c r="B16" s="7" t="s">
        <v>75</v>
      </c>
    </row>
    <row r="17" spans="2:2" x14ac:dyDescent="0.2">
      <c r="B17" s="7" t="s">
        <v>56</v>
      </c>
    </row>
    <row r="18" spans="2:2" x14ac:dyDescent="0.2">
      <c r="B18" s="7" t="s">
        <v>57</v>
      </c>
    </row>
    <row r="19" spans="2:2" x14ac:dyDescent="0.2">
      <c r="B19" s="7" t="s">
        <v>81</v>
      </c>
    </row>
    <row r="20" spans="2:2" x14ac:dyDescent="0.2">
      <c r="B20" s="7" t="s">
        <v>82</v>
      </c>
    </row>
    <row r="21" spans="2:2" x14ac:dyDescent="0.2">
      <c r="B21" s="7" t="s">
        <v>66</v>
      </c>
    </row>
    <row r="22" spans="2:2" x14ac:dyDescent="0.2">
      <c r="B22" s="7"/>
    </row>
    <row r="23" spans="2:2" x14ac:dyDescent="0.2">
      <c r="B23" s="67" t="s">
        <v>86</v>
      </c>
    </row>
    <row r="24" spans="2:2" x14ac:dyDescent="0.2">
      <c r="B24" s="7"/>
    </row>
    <row r="25" spans="2:2" x14ac:dyDescent="0.2">
      <c r="B25" s="15" t="s">
        <v>29</v>
      </c>
    </row>
    <row r="26" spans="2:2" x14ac:dyDescent="0.2">
      <c r="B26" s="7" t="s">
        <v>83</v>
      </c>
    </row>
    <row r="27" spans="2:2" x14ac:dyDescent="0.2">
      <c r="B27" s="7" t="s">
        <v>84</v>
      </c>
    </row>
    <row r="28" spans="2:2" x14ac:dyDescent="0.2">
      <c r="B28" s="7" t="s">
        <v>51</v>
      </c>
    </row>
    <row r="29" spans="2:2" x14ac:dyDescent="0.2">
      <c r="B29" s="7" t="s">
        <v>67</v>
      </c>
    </row>
    <row r="30" spans="2:2" x14ac:dyDescent="0.2">
      <c r="B30" s="7"/>
    </row>
    <row r="31" spans="2:2" x14ac:dyDescent="0.2">
      <c r="B31" s="15" t="s">
        <v>47</v>
      </c>
    </row>
    <row r="32" spans="2:2" x14ac:dyDescent="0.2">
      <c r="B32" s="7" t="s">
        <v>68</v>
      </c>
    </row>
    <row r="33" spans="2:2" x14ac:dyDescent="0.2">
      <c r="B33" s="7" t="s">
        <v>85</v>
      </c>
    </row>
    <row r="34" spans="2:2" x14ac:dyDescent="0.2">
      <c r="B34" s="7" t="s">
        <v>70</v>
      </c>
    </row>
    <row r="35" spans="2:2" x14ac:dyDescent="0.2">
      <c r="B35" s="7" t="s">
        <v>69</v>
      </c>
    </row>
    <row r="36" spans="2:2" x14ac:dyDescent="0.2">
      <c r="B36" s="7" t="s">
        <v>71</v>
      </c>
    </row>
    <row r="37" spans="2:2" x14ac:dyDescent="0.2">
      <c r="B37" s="7" t="s">
        <v>74</v>
      </c>
    </row>
    <row r="38" spans="2:2" x14ac:dyDescent="0.2">
      <c r="B38" s="7" t="s">
        <v>72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39</v>
      </c>
    </row>
    <row r="42" spans="2:2" x14ac:dyDescent="0.2">
      <c r="B42" s="10" t="s">
        <v>73</v>
      </c>
    </row>
    <row r="43" spans="2:2" x14ac:dyDescent="0.2">
      <c r="B43" s="11" t="s">
        <v>52</v>
      </c>
    </row>
    <row r="44" spans="2:2" x14ac:dyDescent="0.2">
      <c r="B44" s="12" t="s">
        <v>41</v>
      </c>
    </row>
    <row r="45" spans="2:2" x14ac:dyDescent="0.2">
      <c r="B45" s="11" t="s">
        <v>53</v>
      </c>
    </row>
    <row r="46" spans="2:2" x14ac:dyDescent="0.2">
      <c r="B46" s="11" t="s">
        <v>40</v>
      </c>
    </row>
    <row r="47" spans="2:2" ht="13.5" thickBot="1" x14ac:dyDescent="0.25">
      <c r="B47" s="13" t="s">
        <v>54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45"/>
  <sheetViews>
    <sheetView showGridLines="0" tabSelected="1" zoomScaleNormal="100" workbookViewId="0">
      <pane xSplit="6" ySplit="2" topLeftCell="G9" activePane="bottomRight" state="frozen"/>
      <selection pane="topRight" activeCell="F1" sqref="F1"/>
      <selection pane="bottomLeft" activeCell="A3" sqref="A3"/>
      <selection pane="bottomRight" activeCell="C3" sqref="C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5" width="15.28515625" style="40" customWidth="1"/>
    <col min="6" max="6" width="6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71" t="s">
        <v>24</v>
      </c>
      <c r="H1" s="72"/>
      <c r="I1" s="72"/>
      <c r="J1" s="72"/>
      <c r="K1" s="73"/>
      <c r="L1" s="74" t="s">
        <v>26</v>
      </c>
      <c r="M1" s="75"/>
      <c r="N1" s="76"/>
      <c r="O1" s="20" t="s">
        <v>38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21</v>
      </c>
      <c r="H2" s="25" t="s">
        <v>25</v>
      </c>
      <c r="I2" s="25" t="s">
        <v>45</v>
      </c>
      <c r="J2" s="25" t="s">
        <v>76</v>
      </c>
      <c r="K2" s="25" t="s">
        <v>43</v>
      </c>
      <c r="L2" s="26" t="s">
        <v>27</v>
      </c>
      <c r="M2" s="26" t="s">
        <v>23</v>
      </c>
      <c r="N2" s="38" t="s">
        <v>44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28</v>
      </c>
      <c r="Y2" s="54" t="s">
        <v>31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x14ac:dyDescent="0.2">
      <c r="A3" s="18"/>
      <c r="B3" s="4">
        <v>1</v>
      </c>
      <c r="C3" s="4" t="s">
        <v>6</v>
      </c>
      <c r="D3" s="4" t="s">
        <v>32</v>
      </c>
      <c r="E3" s="4" t="s">
        <v>32</v>
      </c>
      <c r="F3" s="17" t="s">
        <v>7</v>
      </c>
      <c r="G3" s="45">
        <v>41372</v>
      </c>
      <c r="H3" s="45">
        <f ca="1">IF(OR(ISBLANK($G$3),ISBLANK($C3)),"",OFFSET($O$2,0,J3+MATCH(G3,$O$2:$W$2,0)-1))</f>
        <v>41379</v>
      </c>
      <c r="I3" s="46"/>
      <c r="J3" s="43">
        <v>1</v>
      </c>
      <c r="K3" s="3">
        <v>12</v>
      </c>
      <c r="L3" s="55">
        <f t="array" ref="L3">IF(ISNA(INDEX($O$2:$DA$2,1,MATCH(1,IF($O3:$DM3,1),0))),"",INDEX($O$2:$DA$2,1,MATCH(1,IF($O3:$DM3,1),0)))</f>
        <v>41372</v>
      </c>
      <c r="M3" s="55">
        <f t="shared" ref="M3:M17" si="1">IF(ISNA(MATCH("X",O3:W3,0)),"",INDEX($O$2:$X$2,1,MATCH("X",O3:W3,0)-1))</f>
        <v>41372</v>
      </c>
      <c r="N3" s="56">
        <f t="shared" ref="N3:N17" si="2">SUM(O3:CG3)</f>
        <v>14</v>
      </c>
      <c r="O3" s="51">
        <v>14</v>
      </c>
      <c r="P3" s="51" t="s">
        <v>37</v>
      </c>
      <c r="Q3" s="51" t="str">
        <f t="shared" ref="Q3:W17" si="3">IF(ISNUMBER(P3)," ",IF(P3="X","X"," "))</f>
        <v>X</v>
      </c>
      <c r="R3" s="51" t="str">
        <f t="shared" si="3"/>
        <v>X</v>
      </c>
      <c r="S3" s="51" t="str">
        <f t="shared" ref="S3:T17" si="4">IF(ISNUMBER(R3)," ",IF(R3="X","X"," "))</f>
        <v>X</v>
      </c>
      <c r="T3" s="51" t="str">
        <f t="shared" si="4"/>
        <v>X</v>
      </c>
      <c r="U3" s="51" t="str">
        <f t="shared" ref="U3:U17" si="5">IF(ISNUMBER(T3)," ",IF(T3="X","X"," "))</f>
        <v>X</v>
      </c>
      <c r="V3" s="51" t="str">
        <f t="shared" si="3"/>
        <v>X</v>
      </c>
      <c r="W3" s="51" t="str">
        <f t="shared" si="3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x14ac:dyDescent="0.2">
      <c r="A4" s="18"/>
      <c r="B4" s="4">
        <v>2</v>
      </c>
      <c r="C4" s="4" t="s">
        <v>8</v>
      </c>
      <c r="D4" s="4" t="s">
        <v>9</v>
      </c>
      <c r="E4" s="4" t="s">
        <v>10</v>
      </c>
      <c r="F4" s="17" t="s">
        <v>46</v>
      </c>
      <c r="G4" s="45">
        <f ca="1">IF(OR(ISBLANK($G$3),ISBLANK($C4)),"",OFFSET($O$2,0,I4+MATCH(G3,$O$2:$W$2,0)-1))</f>
        <v>41372</v>
      </c>
      <c r="H4" s="45">
        <f t="shared" ref="H4:H5" ca="1" si="6">IF(OR(ISBLANK($G$3),ISBLANK($C4)),"",OFFSET($O$2,0,J4+MATCH(G4,$O$2:$W$2,0)-1))</f>
        <v>41386</v>
      </c>
      <c r="I4" s="43">
        <v>0</v>
      </c>
      <c r="J4" s="43">
        <v>2</v>
      </c>
      <c r="K4" s="3">
        <v>12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41386</v>
      </c>
      <c r="N4" s="56">
        <f t="shared" si="2"/>
        <v>10</v>
      </c>
      <c r="O4" s="51">
        <v>2</v>
      </c>
      <c r="P4" s="51">
        <v>4</v>
      </c>
      <c r="Q4" s="51">
        <v>4</v>
      </c>
      <c r="R4" s="51" t="s">
        <v>37</v>
      </c>
      <c r="S4" s="51" t="str">
        <f t="shared" si="4"/>
        <v>X</v>
      </c>
      <c r="T4" s="51" t="str">
        <f t="shared" si="4"/>
        <v>X</v>
      </c>
      <c r="U4" s="51" t="str">
        <f t="shared" si="5"/>
        <v>X</v>
      </c>
      <c r="V4" s="51" t="str">
        <f t="shared" si="3"/>
        <v>X</v>
      </c>
      <c r="W4" s="51" t="str">
        <f t="shared" ref="W4" si="7">IF(ISNUMBER(V4)," ",IF(V4="X","X"," "))</f>
        <v>X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x14ac:dyDescent="0.2">
      <c r="A5" s="18"/>
      <c r="B5" s="4">
        <v>3</v>
      </c>
      <c r="C5" s="4" t="s">
        <v>8</v>
      </c>
      <c r="D5" s="4" t="s">
        <v>9</v>
      </c>
      <c r="E5" s="4" t="s">
        <v>10</v>
      </c>
      <c r="F5" s="17" t="s">
        <v>7</v>
      </c>
      <c r="G5" s="45">
        <f t="shared" ref="G5:G17" ca="1" si="8">IF(OR(ISBLANK($G$3),ISBLANK($C5)),"",OFFSET($O$2,0,I5+MATCH(G4,$O$2:$W$2,0)-1))</f>
        <v>41372</v>
      </c>
      <c r="H5" s="45">
        <f t="shared" ca="1" si="6"/>
        <v>41407</v>
      </c>
      <c r="I5" s="43">
        <v>0</v>
      </c>
      <c r="J5" s="43">
        <v>4</v>
      </c>
      <c r="K5" s="3">
        <v>12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41386</v>
      </c>
      <c r="N5" s="56">
        <f t="shared" si="2"/>
        <v>10</v>
      </c>
      <c r="O5" s="51"/>
      <c r="P5" s="51">
        <v>5</v>
      </c>
      <c r="Q5" s="51">
        <v>5</v>
      </c>
      <c r="R5" s="51" t="s">
        <v>37</v>
      </c>
      <c r="S5" s="51" t="str">
        <f t="shared" si="4"/>
        <v>X</v>
      </c>
      <c r="T5" s="51" t="str">
        <f t="shared" si="4"/>
        <v>X</v>
      </c>
      <c r="U5" s="51" t="str">
        <f t="shared" si="5"/>
        <v>X</v>
      </c>
      <c r="V5" s="51" t="str">
        <f t="shared" si="3"/>
        <v>X</v>
      </c>
      <c r="W5" s="51" t="str">
        <f t="shared" ref="W5" si="9">IF(ISNUMBER(V5)," ",IF(V5="X","X"," "))</f>
        <v>X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x14ac:dyDescent="0.2">
      <c r="A6" s="18"/>
      <c r="B6" s="4">
        <v>4</v>
      </c>
      <c r="C6" s="4" t="s">
        <v>8</v>
      </c>
      <c r="D6" s="4" t="s">
        <v>9</v>
      </c>
      <c r="E6" s="4" t="s">
        <v>11</v>
      </c>
      <c r="F6" s="17" t="s">
        <v>7</v>
      </c>
      <c r="G6" s="45">
        <f t="shared" ca="1" si="8"/>
        <v>41379</v>
      </c>
      <c r="H6" s="45">
        <f ca="1">IF(OR(ISBLANK($G$3),ISBLANK($C6)),"",OFFSET($O$2,0,J6+MATCH(G6,$O$2:$W$2,0)-1))</f>
        <v>41386</v>
      </c>
      <c r="I6" s="43">
        <v>1</v>
      </c>
      <c r="J6" s="43">
        <v>1</v>
      </c>
      <c r="K6" s="3">
        <v>14</v>
      </c>
      <c r="L6" s="55">
        <f t="array" ref="L6">IF(ISNA(INDEX($O$2:$DA$2,1,MATCH(1,IF($O6:$DM6,1),0))),"",INDEX($O$2:$DA$2,1,MATCH(1,IF($O6:$DM6,1),0)))</f>
        <v>41379</v>
      </c>
      <c r="M6" s="55">
        <f t="shared" si="1"/>
        <v>41393</v>
      </c>
      <c r="N6" s="56">
        <f t="shared" si="2"/>
        <v>18</v>
      </c>
      <c r="O6" s="51"/>
      <c r="P6" s="51">
        <v>12</v>
      </c>
      <c r="Q6" s="51">
        <v>4</v>
      </c>
      <c r="R6" s="51">
        <v>2</v>
      </c>
      <c r="S6" s="51" t="s">
        <v>37</v>
      </c>
      <c r="T6" s="51" t="str">
        <f t="shared" si="4"/>
        <v>X</v>
      </c>
      <c r="U6" s="51" t="str">
        <f t="shared" si="5"/>
        <v>X</v>
      </c>
      <c r="V6" s="51" t="str">
        <f t="shared" ref="V6:V14" si="10">IF(ISNUMBER(U6)," ",IF(U6="X","X"," "))</f>
        <v>X</v>
      </c>
      <c r="W6" s="51" t="str">
        <f t="shared" ref="W6:W14" si="11">IF(ISNUMBER(V6)," ",IF(V6="X","X"," "))</f>
        <v>X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x14ac:dyDescent="0.2">
      <c r="A7" s="18"/>
      <c r="B7" s="4">
        <v>5</v>
      </c>
      <c r="C7" s="4" t="s">
        <v>8</v>
      </c>
      <c r="D7" s="4" t="s">
        <v>9</v>
      </c>
      <c r="E7" s="4" t="s">
        <v>11</v>
      </c>
      <c r="F7" s="17" t="s">
        <v>46</v>
      </c>
      <c r="G7" s="45">
        <f t="shared" ca="1" si="8"/>
        <v>41386</v>
      </c>
      <c r="H7" s="45">
        <f t="shared" ref="H7:H16" ca="1" si="12">IF(OR(ISBLANK($G$3),ISBLANK($C7)),"",OFFSET($O$2,0,J7+MATCH(G7,$O$2:$W$2,0)-1))</f>
        <v>41407</v>
      </c>
      <c r="I7" s="43">
        <v>1</v>
      </c>
      <c r="J7" s="43">
        <v>2</v>
      </c>
      <c r="K7" s="3">
        <v>8</v>
      </c>
      <c r="L7" s="55">
        <f t="array" ref="L7">IF(ISNA(INDEX($O$2:$DA$2,1,MATCH(1,IF($O7:$DM7,1),0))),"",INDEX($O$2:$DA$2,1,MATCH(1,IF($O7:$DM7,1),0)))</f>
        <v>41393</v>
      </c>
      <c r="M7" s="55" t="str">
        <f t="shared" si="1"/>
        <v/>
      </c>
      <c r="N7" s="56">
        <f t="shared" si="2"/>
        <v>2</v>
      </c>
      <c r="O7" s="51"/>
      <c r="P7" s="51" t="str">
        <f t="shared" ref="P7:Q7" si="13">IF(ISNUMBER(O7)," ",IF(O7="X","X"," "))</f>
        <v xml:space="preserve"> </v>
      </c>
      <c r="Q7" s="51" t="str">
        <f t="shared" si="13"/>
        <v xml:space="preserve"> </v>
      </c>
      <c r="R7" s="51">
        <v>2</v>
      </c>
      <c r="S7" s="51" t="str">
        <f t="shared" si="4"/>
        <v xml:space="preserve"> </v>
      </c>
      <c r="T7" s="51" t="str">
        <f t="shared" si="4"/>
        <v xml:space="preserve"> </v>
      </c>
      <c r="U7" s="51" t="str">
        <f t="shared" si="5"/>
        <v xml:space="preserve"> </v>
      </c>
      <c r="V7" s="51" t="str">
        <f t="shared" si="10"/>
        <v xml:space="preserve"> </v>
      </c>
      <c r="W7" s="51" t="str">
        <f t="shared" si="11"/>
        <v xml:space="preserve"> 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x14ac:dyDescent="0.2">
      <c r="A8" s="18"/>
      <c r="B8" s="4">
        <v>6</v>
      </c>
      <c r="C8" s="4" t="s">
        <v>8</v>
      </c>
      <c r="D8" s="4" t="s">
        <v>12</v>
      </c>
      <c r="E8" s="4" t="s">
        <v>32</v>
      </c>
      <c r="F8" s="17" t="s">
        <v>7</v>
      </c>
      <c r="G8" s="45">
        <f t="shared" ca="1" si="8"/>
        <v>41386</v>
      </c>
      <c r="H8" s="45">
        <f t="shared" ca="1" si="12"/>
        <v>41393</v>
      </c>
      <c r="I8" s="43">
        <v>0</v>
      </c>
      <c r="J8" s="43">
        <v>1</v>
      </c>
      <c r="K8" s="3">
        <v>8</v>
      </c>
      <c r="L8" s="55">
        <f t="array" ref="L8">IF(ISNA(INDEX($O$2:$DA$2,1,MATCH(1,IF($O8:$DM8,1),0))),"",INDEX($O$2:$DA$2,1,MATCH(1,IF($O8:$DM8,1),0)))</f>
        <v>41386</v>
      </c>
      <c r="M8" s="55" t="str">
        <f t="shared" si="1"/>
        <v/>
      </c>
      <c r="N8" s="56">
        <f t="shared" si="2"/>
        <v>5</v>
      </c>
      <c r="O8" s="51"/>
      <c r="P8" s="51" t="str">
        <f t="shared" ref="P8" si="14">IF(ISNUMBER(O8)," ",IF(O8="X","X"," "))</f>
        <v xml:space="preserve"> </v>
      </c>
      <c r="Q8" s="51">
        <v>2</v>
      </c>
      <c r="R8" s="51">
        <v>3</v>
      </c>
      <c r="S8" s="51" t="str">
        <f t="shared" si="4"/>
        <v xml:space="preserve"> </v>
      </c>
      <c r="T8" s="51" t="str">
        <f t="shared" si="4"/>
        <v xml:space="preserve"> </v>
      </c>
      <c r="U8" s="51" t="str">
        <f t="shared" si="5"/>
        <v xml:space="preserve"> </v>
      </c>
      <c r="V8" s="51" t="str">
        <f t="shared" si="10"/>
        <v xml:space="preserve"> </v>
      </c>
      <c r="W8" s="51" t="str">
        <f t="shared" si="11"/>
        <v xml:space="preserve"> </v>
      </c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x14ac:dyDescent="0.2">
      <c r="A9" s="18"/>
      <c r="B9" s="4">
        <v>7</v>
      </c>
      <c r="C9" s="4" t="s">
        <v>13</v>
      </c>
      <c r="D9" s="4" t="s">
        <v>32</v>
      </c>
      <c r="E9" s="4" t="s">
        <v>32</v>
      </c>
      <c r="F9" s="17" t="s">
        <v>14</v>
      </c>
      <c r="G9" s="45">
        <f t="shared" ca="1" si="8"/>
        <v>41393</v>
      </c>
      <c r="H9" s="45">
        <f t="shared" ca="1" si="12"/>
        <v>41414</v>
      </c>
      <c r="I9" s="43">
        <v>1</v>
      </c>
      <c r="J9" s="43">
        <v>2</v>
      </c>
      <c r="K9" s="3">
        <v>12</v>
      </c>
      <c r="L9" s="55">
        <f t="array" ref="L9">IF(ISNA(INDEX($O$2:$DA$2,1,MATCH(1,IF($O9:$DM9,1),0))),"",INDEX($O$2:$DA$2,1,MATCH(1,IF($O9:$DM9,1),0)))</f>
        <v>41386</v>
      </c>
      <c r="M9" s="55" t="str">
        <f t="shared" si="1"/>
        <v/>
      </c>
      <c r="N9" s="56">
        <f t="shared" si="2"/>
        <v>6</v>
      </c>
      <c r="O9" s="51"/>
      <c r="P9" s="51" t="str">
        <f t="shared" ref="P9" si="15">IF(ISNUMBER(O9)," ",IF(O9="X","X"," "))</f>
        <v xml:space="preserve"> </v>
      </c>
      <c r="Q9" s="51">
        <v>2</v>
      </c>
      <c r="R9" s="51">
        <v>4</v>
      </c>
      <c r="S9" s="51" t="str">
        <f t="shared" si="4"/>
        <v xml:space="preserve"> </v>
      </c>
      <c r="T9" s="51" t="str">
        <f t="shared" si="4"/>
        <v xml:space="preserve"> </v>
      </c>
      <c r="U9" s="51" t="str">
        <f t="shared" si="5"/>
        <v xml:space="preserve"> </v>
      </c>
      <c r="V9" s="51" t="str">
        <f t="shared" si="10"/>
        <v xml:space="preserve"> </v>
      </c>
      <c r="W9" s="51" t="str">
        <f t="shared" si="11"/>
        <v xml:space="preserve"> </v>
      </c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x14ac:dyDescent="0.2">
      <c r="A10" s="18"/>
      <c r="B10" s="4">
        <v>8</v>
      </c>
      <c r="C10" s="4" t="s">
        <v>15</v>
      </c>
      <c r="D10" s="4" t="s">
        <v>16</v>
      </c>
      <c r="E10" s="4" t="s">
        <v>32</v>
      </c>
      <c r="F10" s="17" t="s">
        <v>7</v>
      </c>
      <c r="G10" s="45">
        <f t="shared" ca="1" si="8"/>
        <v>41414</v>
      </c>
      <c r="H10" s="45">
        <f t="shared" ca="1" si="12"/>
        <v>41421</v>
      </c>
      <c r="I10" s="43">
        <v>2</v>
      </c>
      <c r="J10" s="43">
        <v>1</v>
      </c>
      <c r="K10" s="3">
        <v>4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2"/>
        <v>0</v>
      </c>
      <c r="O10" s="51"/>
      <c r="P10" s="51" t="str">
        <f t="shared" ref="P10:R10" si="16">IF(ISNUMBER(O10)," ",IF(O10="X","X"," "))</f>
        <v xml:space="preserve"> </v>
      </c>
      <c r="Q10" s="51" t="str">
        <f t="shared" si="16"/>
        <v xml:space="preserve"> </v>
      </c>
      <c r="R10" s="51" t="str">
        <f t="shared" si="16"/>
        <v xml:space="preserve"> </v>
      </c>
      <c r="S10" s="51" t="str">
        <f t="shared" si="4"/>
        <v xml:space="preserve"> </v>
      </c>
      <c r="T10" s="51" t="str">
        <f t="shared" si="4"/>
        <v xml:space="preserve"> </v>
      </c>
      <c r="U10" s="51" t="str">
        <f t="shared" si="5"/>
        <v xml:space="preserve"> </v>
      </c>
      <c r="V10" s="51" t="str">
        <f t="shared" si="10"/>
        <v xml:space="preserve"> </v>
      </c>
      <c r="W10" s="51" t="str">
        <f t="shared" si="11"/>
        <v xml:space="preserve"> </v>
      </c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x14ac:dyDescent="0.2">
      <c r="A11" s="18"/>
      <c r="B11" s="4">
        <v>9</v>
      </c>
      <c r="C11" s="4" t="s">
        <v>15</v>
      </c>
      <c r="D11" s="4" t="s">
        <v>17</v>
      </c>
      <c r="E11" s="4" t="s">
        <v>32</v>
      </c>
      <c r="F11" s="17" t="s">
        <v>7</v>
      </c>
      <c r="G11" s="45">
        <f t="shared" ca="1" si="8"/>
        <v>41407</v>
      </c>
      <c r="H11" s="45">
        <f t="shared" ca="1" si="12"/>
        <v>41421</v>
      </c>
      <c r="I11" s="43">
        <v>-1</v>
      </c>
      <c r="J11" s="43">
        <v>2</v>
      </c>
      <c r="K11" s="3">
        <v>8</v>
      </c>
      <c r="L11" s="5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56">
        <f t="shared" si="2"/>
        <v>0</v>
      </c>
      <c r="O11" s="51"/>
      <c r="P11" s="51" t="str">
        <f t="shared" ref="P11:R11" si="17">IF(ISNUMBER(O11)," ",IF(O11="X","X"," "))</f>
        <v xml:space="preserve"> </v>
      </c>
      <c r="Q11" s="51" t="str">
        <f t="shared" si="17"/>
        <v xml:space="preserve"> </v>
      </c>
      <c r="R11" s="51" t="str">
        <f t="shared" si="17"/>
        <v xml:space="preserve"> </v>
      </c>
      <c r="S11" s="51" t="str">
        <f t="shared" si="4"/>
        <v xml:space="preserve"> </v>
      </c>
      <c r="T11" s="51" t="str">
        <f t="shared" si="4"/>
        <v xml:space="preserve"> </v>
      </c>
      <c r="U11" s="51" t="str">
        <f t="shared" si="5"/>
        <v xml:space="preserve"> </v>
      </c>
      <c r="V11" s="51" t="str">
        <f t="shared" si="10"/>
        <v xml:space="preserve"> </v>
      </c>
      <c r="W11" s="51" t="str">
        <f t="shared" si="11"/>
        <v xml:space="preserve"> </v>
      </c>
      <c r="X11" s="5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x14ac:dyDescent="0.2">
      <c r="A12" s="18"/>
      <c r="B12" s="4">
        <v>10</v>
      </c>
      <c r="C12" s="4" t="s">
        <v>15</v>
      </c>
      <c r="D12" s="4" t="s">
        <v>18</v>
      </c>
      <c r="E12" s="4" t="s">
        <v>19</v>
      </c>
      <c r="F12" s="17" t="s">
        <v>7</v>
      </c>
      <c r="G12" s="45">
        <f t="shared" ca="1" si="8"/>
        <v>41407</v>
      </c>
      <c r="H12" s="45">
        <f t="shared" ca="1" si="12"/>
        <v>41421</v>
      </c>
      <c r="I12" s="43">
        <v>0</v>
      </c>
      <c r="J12" s="43">
        <v>2</v>
      </c>
      <c r="K12" s="3">
        <v>8</v>
      </c>
      <c r="L12" s="55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56">
        <f t="shared" si="2"/>
        <v>0</v>
      </c>
      <c r="O12" s="51"/>
      <c r="P12" s="51" t="str">
        <f t="shared" ref="P12:R12" si="18">IF(ISNUMBER(O12)," ",IF(O12="X","X"," "))</f>
        <v xml:space="preserve"> </v>
      </c>
      <c r="Q12" s="51" t="str">
        <f t="shared" si="18"/>
        <v xml:space="preserve"> </v>
      </c>
      <c r="R12" s="51" t="str">
        <f t="shared" si="18"/>
        <v xml:space="preserve"> </v>
      </c>
      <c r="S12" s="51" t="str">
        <f t="shared" si="4"/>
        <v xml:space="preserve"> </v>
      </c>
      <c r="T12" s="51" t="str">
        <f t="shared" si="4"/>
        <v xml:space="preserve"> </v>
      </c>
      <c r="U12" s="51" t="str">
        <f t="shared" si="5"/>
        <v xml:space="preserve"> </v>
      </c>
      <c r="V12" s="51" t="str">
        <f t="shared" si="10"/>
        <v xml:space="preserve"> </v>
      </c>
      <c r="W12" s="51" t="str">
        <f t="shared" si="11"/>
        <v xml:space="preserve"> </v>
      </c>
      <c r="X12" s="5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4" t="s">
        <v>15</v>
      </c>
      <c r="D13" s="4" t="s">
        <v>18</v>
      </c>
      <c r="E13" s="4" t="s">
        <v>19</v>
      </c>
      <c r="F13" s="17" t="s">
        <v>7</v>
      </c>
      <c r="G13" s="45">
        <f t="shared" ca="1" si="8"/>
        <v>41407</v>
      </c>
      <c r="H13" s="45">
        <f t="shared" ca="1" si="12"/>
        <v>41421</v>
      </c>
      <c r="I13" s="43">
        <v>0</v>
      </c>
      <c r="J13" s="43">
        <v>2</v>
      </c>
      <c r="K13" s="3">
        <v>8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2"/>
        <v>0</v>
      </c>
      <c r="O13" s="51"/>
      <c r="P13" s="51" t="str">
        <f t="shared" ref="P13:R13" si="19">IF(ISNUMBER(O13)," ",IF(O13="X","X"," "))</f>
        <v xml:space="preserve"> </v>
      </c>
      <c r="Q13" s="51" t="str">
        <f t="shared" si="19"/>
        <v xml:space="preserve"> </v>
      </c>
      <c r="R13" s="51" t="str">
        <f t="shared" si="19"/>
        <v xml:space="preserve"> </v>
      </c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5"/>
        <v xml:space="preserve"> </v>
      </c>
      <c r="V13" s="51" t="str">
        <f t="shared" si="10"/>
        <v xml:space="preserve"> </v>
      </c>
      <c r="W13" s="51" t="str">
        <f t="shared" si="11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x14ac:dyDescent="0.2">
      <c r="A14" s="18"/>
      <c r="B14" s="4">
        <v>12</v>
      </c>
      <c r="C14" s="4" t="s">
        <v>15</v>
      </c>
      <c r="D14" s="4" t="s">
        <v>18</v>
      </c>
      <c r="E14" s="4" t="s">
        <v>20</v>
      </c>
      <c r="F14" s="17" t="s">
        <v>7</v>
      </c>
      <c r="G14" s="45">
        <f t="shared" ca="1" si="8"/>
        <v>41414</v>
      </c>
      <c r="H14" s="45">
        <f t="shared" ca="1" si="12"/>
        <v>41428</v>
      </c>
      <c r="I14" s="43">
        <v>1</v>
      </c>
      <c r="J14" s="43">
        <v>2</v>
      </c>
      <c r="K14" s="3">
        <v>12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2"/>
        <v>0</v>
      </c>
      <c r="O14" s="51"/>
      <c r="P14" s="51" t="str">
        <f t="shared" ref="P14:R14" si="20">IF(ISNUMBER(O14)," ",IF(O14="X","X"," "))</f>
        <v xml:space="preserve"> </v>
      </c>
      <c r="Q14" s="51" t="str">
        <f t="shared" si="20"/>
        <v xml:space="preserve"> </v>
      </c>
      <c r="R14" s="51" t="str">
        <f t="shared" si="20"/>
        <v xml:space="preserve"> </v>
      </c>
      <c r="S14" s="51" t="str">
        <f t="shared" si="4"/>
        <v xml:space="preserve"> </v>
      </c>
      <c r="T14" s="51" t="str">
        <f t="shared" si="4"/>
        <v xml:space="preserve"> </v>
      </c>
      <c r="U14" s="51" t="str">
        <f t="shared" si="5"/>
        <v xml:space="preserve"> </v>
      </c>
      <c r="V14" s="51" t="str">
        <f t="shared" si="10"/>
        <v xml:space="preserve"> </v>
      </c>
      <c r="W14" s="51" t="str">
        <f t="shared" si="11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x14ac:dyDescent="0.2">
      <c r="A15" s="18"/>
      <c r="B15" s="4">
        <v>13</v>
      </c>
      <c r="C15" s="4" t="s">
        <v>15</v>
      </c>
      <c r="D15" s="4" t="s">
        <v>18</v>
      </c>
      <c r="E15" s="4" t="s">
        <v>20</v>
      </c>
      <c r="F15" s="17" t="s">
        <v>7</v>
      </c>
      <c r="G15" s="45">
        <f t="shared" ca="1" si="8"/>
        <v>41421</v>
      </c>
      <c r="H15" s="45">
        <f t="shared" ca="1" si="12"/>
        <v>41428</v>
      </c>
      <c r="I15" s="43">
        <v>1</v>
      </c>
      <c r="J15" s="43">
        <v>1</v>
      </c>
      <c r="K15" s="3">
        <v>12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2"/>
        <v>0</v>
      </c>
      <c r="O15" s="51"/>
      <c r="P15" s="51" t="str">
        <f t="shared" ref="P15:W15" si="21">IF(ISNUMBER(O15)," ",IF(O15="X","X"," "))</f>
        <v xml:space="preserve"> </v>
      </c>
      <c r="Q15" s="51" t="str">
        <f t="shared" si="21"/>
        <v xml:space="preserve"> </v>
      </c>
      <c r="R15" s="51" t="str">
        <f t="shared" si="21"/>
        <v xml:space="preserve"> </v>
      </c>
      <c r="S15" s="51" t="str">
        <f t="shared" si="4"/>
        <v xml:space="preserve"> </v>
      </c>
      <c r="T15" s="51" t="str">
        <f t="shared" si="4"/>
        <v xml:space="preserve"> </v>
      </c>
      <c r="U15" s="51" t="str">
        <f t="shared" si="5"/>
        <v xml:space="preserve"> </v>
      </c>
      <c r="V15" s="51" t="str">
        <f t="shared" si="3"/>
        <v xml:space="preserve"> </v>
      </c>
      <c r="W15" s="51" t="str">
        <f t="shared" si="21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x14ac:dyDescent="0.2">
      <c r="A16" s="18"/>
      <c r="B16" s="4">
        <v>14</v>
      </c>
      <c r="C16" s="4" t="s">
        <v>36</v>
      </c>
      <c r="D16" s="4"/>
      <c r="E16" s="4"/>
      <c r="F16" s="17" t="s">
        <v>7</v>
      </c>
      <c r="G16" s="45">
        <f t="shared" ca="1" si="8"/>
        <v>41379</v>
      </c>
      <c r="H16" s="45">
        <f t="shared" ca="1" si="12"/>
        <v>41428</v>
      </c>
      <c r="I16" s="43">
        <v>-5</v>
      </c>
      <c r="J16" s="43">
        <v>6</v>
      </c>
      <c r="K16" s="3">
        <v>10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2"/>
        <v>0</v>
      </c>
      <c r="O16" s="51"/>
      <c r="P16" s="51" t="str">
        <f t="shared" ref="P16:W16" si="22">IF(ISNUMBER(O16)," ",IF(O16="X","X"," "))</f>
        <v xml:space="preserve"> </v>
      </c>
      <c r="Q16" s="51" t="str">
        <f t="shared" si="22"/>
        <v xml:space="preserve"> </v>
      </c>
      <c r="R16" s="51" t="str">
        <f t="shared" si="22"/>
        <v xml:space="preserve"> </v>
      </c>
      <c r="S16" s="51" t="str">
        <f t="shared" si="4"/>
        <v xml:space="preserve"> </v>
      </c>
      <c r="T16" s="51" t="str">
        <f t="shared" si="4"/>
        <v xml:space="preserve"> </v>
      </c>
      <c r="U16" s="51" t="str">
        <f t="shared" si="5"/>
        <v xml:space="preserve"> </v>
      </c>
      <c r="V16" s="51" t="str">
        <f t="shared" si="3"/>
        <v xml:space="preserve"> </v>
      </c>
      <c r="W16" s="51" t="str">
        <f t="shared" si="22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x14ac:dyDescent="0.2">
      <c r="A17" s="18"/>
      <c r="B17" s="4"/>
      <c r="C17" s="4"/>
      <c r="D17" s="4"/>
      <c r="E17" s="4"/>
      <c r="F17" s="17"/>
      <c r="G17" s="45" t="str">
        <f t="shared" ca="1" si="8"/>
        <v/>
      </c>
      <c r="H17" s="45" t="str">
        <f t="shared" ref="H17" ca="1" si="23">IF(OR(ISBLANK($G$3),ISBLANK($C17)),"",OFFSET($O$2,0,J17))</f>
        <v/>
      </c>
      <c r="I17" s="43"/>
      <c r="J17" s="43"/>
      <c r="K17" s="3"/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2"/>
        <v>0</v>
      </c>
      <c r="O17" s="51"/>
      <c r="P17" s="51" t="str">
        <f t="shared" ref="P17" si="24">IF(ISNUMBER(O17)," ",IF(O17="X","X"," "))</f>
        <v xml:space="preserve"> </v>
      </c>
      <c r="Q17" s="51" t="str">
        <f t="shared" ref="Q17" si="25">IF(ISNUMBER(P17)," ",IF(P17="X","X"," "))</f>
        <v xml:space="preserve"> </v>
      </c>
      <c r="R17" s="51" t="str">
        <f t="shared" ref="R17" si="26">IF(ISNUMBER(Q17)," ",IF(Q17="X","X"," "))</f>
        <v xml:space="preserve"> </v>
      </c>
      <c r="S17" s="51" t="str">
        <f t="shared" si="4"/>
        <v xml:space="preserve"> </v>
      </c>
      <c r="T17" s="51" t="str">
        <f t="shared" si="4"/>
        <v xml:space="preserve"> </v>
      </c>
      <c r="U17" s="51" t="str">
        <f t="shared" si="5"/>
        <v xml:space="preserve"> </v>
      </c>
      <c r="V17" s="51" t="str">
        <f t="shared" si="3"/>
        <v xml:space="preserve"> </v>
      </c>
      <c r="W17" s="51" t="str">
        <f t="shared" ref="W17" si="27">IF(ISNUMBER(V17)," ",IF(V17="X","X"," "))</f>
        <v xml:space="preserve"> </v>
      </c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x14ac:dyDescent="0.2">
      <c r="A18" s="18"/>
      <c r="B18" s="18"/>
      <c r="C18" s="18"/>
      <c r="D18" s="18"/>
      <c r="E18" s="18"/>
      <c r="F18" s="18"/>
      <c r="G18" s="18"/>
      <c r="H18" s="18"/>
      <c r="I18" s="64" t="s">
        <v>77</v>
      </c>
      <c r="J18" s="48">
        <f>MATCH(MAX($O$2:$W$2),$O$2:$W$2,0)-1</f>
        <v>8</v>
      </c>
      <c r="K18" s="18"/>
      <c r="L18" s="18"/>
      <c r="M18" s="18"/>
      <c r="N18" s="38" t="s">
        <v>79</v>
      </c>
      <c r="O18" s="56">
        <f>SUM(O3:O17)</f>
        <v>16</v>
      </c>
      <c r="P18" s="56">
        <f t="shared" ref="P18:W18" si="28">SUM(P3:P17)</f>
        <v>21</v>
      </c>
      <c r="Q18" s="56">
        <f t="shared" si="28"/>
        <v>17</v>
      </c>
      <c r="R18" s="56">
        <f t="shared" si="28"/>
        <v>11</v>
      </c>
      <c r="S18" s="56">
        <f t="shared" si="28"/>
        <v>0</v>
      </c>
      <c r="T18" s="56">
        <f t="shared" si="28"/>
        <v>0</v>
      </c>
      <c r="U18" s="56">
        <f t="shared" si="28"/>
        <v>0</v>
      </c>
      <c r="V18" s="56">
        <f t="shared" si="28"/>
        <v>0</v>
      </c>
      <c r="W18" s="56">
        <f t="shared" si="28"/>
        <v>0</v>
      </c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x14ac:dyDescent="0.2">
      <c r="A19" s="18"/>
      <c r="B19" s="18"/>
      <c r="C19" s="18"/>
      <c r="D19" s="18"/>
      <c r="E19" s="18"/>
      <c r="F19" s="18"/>
      <c r="G19" s="18"/>
      <c r="H19" s="18"/>
      <c r="I19" s="80" t="s">
        <v>78</v>
      </c>
      <c r="J19" s="81"/>
      <c r="K19" s="48">
        <f>K21/J18</f>
        <v>17.5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48.75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27">
        <f>IF(OR(ISBLANK(O2),O2=$X$2),"",O2)</f>
        <v>41372</v>
      </c>
      <c r="O20" s="27">
        <f t="shared" ref="O20:W20" si="29">IF(OR(ISBLANK(P2),P2=$X$2),"",P2)</f>
        <v>41379</v>
      </c>
      <c r="P20" s="27">
        <f t="shared" si="29"/>
        <v>41386</v>
      </c>
      <c r="Q20" s="27">
        <f t="shared" si="29"/>
        <v>41393</v>
      </c>
      <c r="R20" s="27">
        <f t="shared" si="29"/>
        <v>41407</v>
      </c>
      <c r="S20" s="27">
        <f t="shared" si="29"/>
        <v>41414</v>
      </c>
      <c r="T20" s="27">
        <f t="shared" si="29"/>
        <v>41421</v>
      </c>
      <c r="U20" s="27">
        <f t="shared" si="29"/>
        <v>41428</v>
      </c>
      <c r="V20" s="27">
        <f t="shared" si="29"/>
        <v>41435</v>
      </c>
      <c r="W20" s="27" t="str">
        <f t="shared" si="29"/>
        <v/>
      </c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s="33" customFormat="1" ht="12.75" customHeight="1" x14ac:dyDescent="0.2">
      <c r="A21" s="29"/>
      <c r="B21" s="29"/>
      <c r="C21" s="77" t="s">
        <v>0</v>
      </c>
      <c r="D21" s="78"/>
      <c r="E21" s="78"/>
      <c r="F21" s="78"/>
      <c r="G21" s="78"/>
      <c r="H21" s="78"/>
      <c r="I21" s="79"/>
      <c r="J21" s="30">
        <f ca="1">MAX(H3:H16)-MIN(G3:G16)</f>
        <v>56</v>
      </c>
      <c r="K21" s="30">
        <f>SUM(K3:K17)</f>
        <v>140</v>
      </c>
      <c r="L21" s="31"/>
      <c r="M21" s="32"/>
      <c r="N21" s="68">
        <v>140</v>
      </c>
      <c r="O21" s="50">
        <f t="shared" ref="O21:U21" si="30">IF(O20="","",N21)</f>
        <v>140</v>
      </c>
      <c r="P21" s="50">
        <f t="shared" si="30"/>
        <v>140</v>
      </c>
      <c r="Q21" s="50">
        <f t="shared" si="30"/>
        <v>140</v>
      </c>
      <c r="R21" s="50">
        <f t="shared" si="30"/>
        <v>140</v>
      </c>
      <c r="S21" s="50">
        <f t="shared" si="30"/>
        <v>140</v>
      </c>
      <c r="T21" s="50">
        <f t="shared" si="30"/>
        <v>140</v>
      </c>
      <c r="U21" s="50">
        <f t="shared" si="30"/>
        <v>140</v>
      </c>
      <c r="V21" s="50"/>
      <c r="W21" s="50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</row>
    <row r="22" spans="1:34" s="33" customFormat="1" ht="12.75" customHeight="1" x14ac:dyDescent="0.2">
      <c r="A22" s="29"/>
      <c r="B22" s="29"/>
      <c r="C22" s="59" t="s">
        <v>49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34">
        <f t="array" aca="1" ref="N22" ca="1">IF(N20="","",M22+IF(ISNA(VLOOKUP(O2,$H$2:$H$17,2,FALSE)),0,SUM(IF($H$2:$K$17=O2,$K$2:$K$17))))</f>
        <v>0</v>
      </c>
      <c r="O22" s="34">
        <f t="array" aca="1" ref="O22" ca="1">IF(O20="","",N22+IF(ISNA(VLOOKUP(P2,$H$2:$H$17,2,FALSE)),0,SUM(IF($H$2:$K$17=P2,$K$2:$K$17))))</f>
        <v>12</v>
      </c>
      <c r="P22" s="34">
        <f t="array" aca="1" ref="P22" ca="1">IF(P20="","",O22+IF(ISNA(VLOOKUP(Q2,$H$2:$H$17,2,FALSE)),0,SUM(IF($H$2:$K$17=Q2,$K$2:$K$17))))</f>
        <v>38</v>
      </c>
      <c r="Q22" s="34">
        <f t="array" aca="1" ref="Q22" ca="1">IF(Q20="","",P22+IF(ISNA(VLOOKUP(R2,$H$2:$H$17,2,FALSE)),0,SUM(IF($H$2:$K$17=R2,$K$2:$K$17))))</f>
        <v>46</v>
      </c>
      <c r="R22" s="34">
        <f t="array" aca="1" ref="R22" ca="1">IF(R20="","",Q22+IF(ISNA(VLOOKUP(S2,$H$2:$H$17,2,FALSE)),0,SUM(IF($H$2:$K$17=S2,$K$2:$K$17))))</f>
        <v>66</v>
      </c>
      <c r="S22" s="34">
        <f t="array" aca="1" ref="S22" ca="1">IF(S20="","",R22+IF(ISNA(VLOOKUP(T2,$H$2:$H$17,2,FALSE)),0,SUM(IF($H$2:$K$17=T2,$K$2:$K$17))))</f>
        <v>78</v>
      </c>
      <c r="T22" s="34">
        <f t="array" aca="1" ref="T22" ca="1">IF(T20="","",S22+IF(ISNA(VLOOKUP(U2,$H$2:$H$17,2,FALSE)),0,SUM(IF($H$2:$K$17=U2,$K$2:$K$17))))</f>
        <v>106</v>
      </c>
      <c r="U22" s="34">
        <f t="array" aca="1" ref="U22" ca="1">IF(U20="","",T22+IF(ISNA(VLOOKUP(V2,$H$2:$H$17,2,FALSE)),0,SUM(IF($H$2:$K$17=V2,$K$2:$K$17))))</f>
        <v>140</v>
      </c>
      <c r="V22" s="34"/>
      <c r="W22" s="34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</row>
    <row r="23" spans="1:34" ht="12.75" customHeight="1" x14ac:dyDescent="0.2">
      <c r="A23" s="18"/>
      <c r="B23" s="18"/>
      <c r="C23" s="61" t="s">
        <v>30</v>
      </c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5">
        <v>0</v>
      </c>
      <c r="O23" s="6">
        <f>SUMIFS($K$3:$K$17,P3:P17,"=X")</f>
        <v>12</v>
      </c>
      <c r="P23" s="6">
        <f>SUMIFS($K$3:$K$17,Q3:Q17,"=X")</f>
        <v>12</v>
      </c>
      <c r="Q23" s="6">
        <f>SUMIFS($K$3:$K$17,R3:R17,"=X")</f>
        <v>36</v>
      </c>
      <c r="R23" s="6">
        <f>SUMIFS($K$3:$K$17,S3:S17,"=X")</f>
        <v>50</v>
      </c>
      <c r="S23" s="6"/>
      <c r="T23" s="6"/>
      <c r="U23" s="6"/>
      <c r="V23" s="6"/>
      <c r="W23" s="6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12.75" customHeight="1" x14ac:dyDescent="0.2">
      <c r="A24" s="18"/>
      <c r="B24" s="18"/>
      <c r="C24" s="63" t="s">
        <v>50</v>
      </c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66">
        <v>0</v>
      </c>
      <c r="O24" s="6">
        <f>SUM(O3:O17)+N24</f>
        <v>16</v>
      </c>
      <c r="P24" s="6">
        <f>SUM(P3:P17)+O24</f>
        <v>37</v>
      </c>
      <c r="Q24" s="6">
        <f>SUM(Q3:Q17)+P24</f>
        <v>54</v>
      </c>
      <c r="R24" s="6">
        <f>SUM(R3:R17)+Q24</f>
        <v>65</v>
      </c>
      <c r="S24" s="6"/>
      <c r="T24" s="6"/>
      <c r="U24" s="6"/>
      <c r="V24" s="6"/>
      <c r="W24" s="6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s="22" customFormat="1" x14ac:dyDescent="0.2">
      <c r="A25" s="18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35"/>
      <c r="M25" s="35"/>
      <c r="N25" s="35"/>
      <c r="O25" s="36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12.75" customHeight="1" x14ac:dyDescent="0.2">
      <c r="A26" s="18"/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35"/>
      <c r="M26" s="69" t="s">
        <v>34</v>
      </c>
      <c r="N26" s="70"/>
      <c r="O26" s="20" t="s">
        <v>33</v>
      </c>
      <c r="P26" s="21"/>
      <c r="Q26" s="21"/>
      <c r="R26" s="21"/>
      <c r="S26" s="21"/>
      <c r="T26" s="21"/>
      <c r="U26" s="21"/>
      <c r="V26" s="21"/>
      <c r="W26" s="21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48.75" x14ac:dyDescent="0.2">
      <c r="A27" s="18"/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35"/>
      <c r="M27" s="23" t="s">
        <v>5</v>
      </c>
      <c r="N27" s="23" t="s">
        <v>22</v>
      </c>
      <c r="O27" s="27">
        <f t="shared" ref="O27:V27" si="31">O2</f>
        <v>41372</v>
      </c>
      <c r="P27" s="39">
        <f t="shared" si="31"/>
        <v>41379</v>
      </c>
      <c r="Q27" s="39">
        <f t="shared" si="31"/>
        <v>41386</v>
      </c>
      <c r="R27" s="39">
        <f t="shared" si="31"/>
        <v>41393</v>
      </c>
      <c r="S27" s="39">
        <f t="shared" si="31"/>
        <v>41407</v>
      </c>
      <c r="T27" s="39">
        <f t="shared" si="31"/>
        <v>41414</v>
      </c>
      <c r="U27" s="39">
        <f t="shared" si="31"/>
        <v>41421</v>
      </c>
      <c r="V27" s="39">
        <f t="shared" si="31"/>
        <v>41428</v>
      </c>
      <c r="W27" s="39"/>
      <c r="X27" s="23" t="s">
        <v>28</v>
      </c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x14ac:dyDescent="0.2">
      <c r="A28" s="18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35"/>
      <c r="M28" s="49" t="s">
        <v>7</v>
      </c>
      <c r="N28" s="37">
        <f>SUM(O28:CG28)</f>
        <v>47</v>
      </c>
      <c r="O28" s="37">
        <f t="shared" ref="O28:W31" si="32">SUMIF($F$3:$F$17,$M28,O$3:O$17)</f>
        <v>14</v>
      </c>
      <c r="P28" s="37">
        <f t="shared" si="32"/>
        <v>17</v>
      </c>
      <c r="Q28" s="37">
        <f t="shared" si="32"/>
        <v>11</v>
      </c>
      <c r="R28" s="37">
        <f t="shared" si="32"/>
        <v>5</v>
      </c>
      <c r="S28" s="37">
        <f t="shared" si="32"/>
        <v>0</v>
      </c>
      <c r="T28" s="37">
        <f t="shared" si="32"/>
        <v>0</v>
      </c>
      <c r="U28" s="37">
        <f t="shared" si="32"/>
        <v>0</v>
      </c>
      <c r="V28" s="37">
        <f t="shared" si="32"/>
        <v>0</v>
      </c>
      <c r="W28" s="37">
        <f t="shared" si="32"/>
        <v>0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x14ac:dyDescent="0.2">
      <c r="A29" s="18"/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35"/>
      <c r="M29" s="49" t="s">
        <v>46</v>
      </c>
      <c r="N29" s="37">
        <f>SUM(O29:CG29)</f>
        <v>12</v>
      </c>
      <c r="O29" s="37">
        <f t="shared" si="32"/>
        <v>2</v>
      </c>
      <c r="P29" s="37">
        <f t="shared" si="32"/>
        <v>4</v>
      </c>
      <c r="Q29" s="37">
        <f t="shared" si="32"/>
        <v>4</v>
      </c>
      <c r="R29" s="37">
        <f t="shared" si="32"/>
        <v>2</v>
      </c>
      <c r="S29" s="37">
        <f t="shared" si="32"/>
        <v>0</v>
      </c>
      <c r="T29" s="37">
        <f t="shared" si="32"/>
        <v>0</v>
      </c>
      <c r="U29" s="37">
        <f t="shared" si="32"/>
        <v>0</v>
      </c>
      <c r="V29" s="37">
        <f t="shared" si="32"/>
        <v>0</v>
      </c>
      <c r="W29" s="37">
        <f t="shared" si="32"/>
        <v>0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x14ac:dyDescent="0.2">
      <c r="A30" s="18"/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35"/>
      <c r="M30" s="49" t="s">
        <v>14</v>
      </c>
      <c r="N30" s="37">
        <f>SUM(O30:CG30)</f>
        <v>6</v>
      </c>
      <c r="O30" s="37">
        <f t="shared" si="32"/>
        <v>0</v>
      </c>
      <c r="P30" s="37">
        <f t="shared" si="32"/>
        <v>0</v>
      </c>
      <c r="Q30" s="37">
        <f t="shared" si="32"/>
        <v>2</v>
      </c>
      <c r="R30" s="37">
        <f t="shared" si="32"/>
        <v>4</v>
      </c>
      <c r="S30" s="37">
        <f t="shared" si="32"/>
        <v>0</v>
      </c>
      <c r="T30" s="37">
        <f t="shared" si="32"/>
        <v>0</v>
      </c>
      <c r="U30" s="37">
        <f t="shared" si="32"/>
        <v>0</v>
      </c>
      <c r="V30" s="37">
        <f t="shared" si="32"/>
        <v>0</v>
      </c>
      <c r="W30" s="37">
        <f t="shared" si="32"/>
        <v>0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x14ac:dyDescent="0.2">
      <c r="A31" s="18"/>
      <c r="B31" s="18"/>
      <c r="C31" s="19"/>
      <c r="D31" s="19"/>
      <c r="E31" s="19"/>
      <c r="F31" s="19"/>
      <c r="G31" s="19"/>
      <c r="H31" s="19"/>
      <c r="I31" s="57"/>
      <c r="J31" s="19"/>
      <c r="K31" s="19"/>
      <c r="L31" s="35"/>
      <c r="M31" s="49"/>
      <c r="N31" s="37">
        <f>SUM(O31:CG31)</f>
        <v>0</v>
      </c>
      <c r="O31" s="37">
        <f t="shared" si="32"/>
        <v>0</v>
      </c>
      <c r="P31" s="37">
        <f t="shared" si="32"/>
        <v>0</v>
      </c>
      <c r="Q31" s="37">
        <f t="shared" si="32"/>
        <v>0</v>
      </c>
      <c r="R31" s="37">
        <f t="shared" si="32"/>
        <v>0</v>
      </c>
      <c r="S31" s="37">
        <f t="shared" si="32"/>
        <v>0</v>
      </c>
      <c r="T31" s="37">
        <f t="shared" si="32"/>
        <v>0</v>
      </c>
      <c r="U31" s="37">
        <f t="shared" si="32"/>
        <v>0</v>
      </c>
      <c r="V31" s="37">
        <f t="shared" si="32"/>
        <v>0</v>
      </c>
      <c r="W31" s="37">
        <f t="shared" si="32"/>
        <v>0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12.75" customHeight="1" x14ac:dyDescent="0.2">
      <c r="A32" s="18"/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35"/>
      <c r="M32" s="47" t="s">
        <v>35</v>
      </c>
      <c r="N32" s="48">
        <f>SUM(N28:N31)</f>
        <v>65</v>
      </c>
      <c r="O32" s="48">
        <f t="shared" ref="O32:W32" si="33">SUM(O28:O31)</f>
        <v>16</v>
      </c>
      <c r="P32" s="48">
        <f t="shared" si="33"/>
        <v>21</v>
      </c>
      <c r="Q32" s="48">
        <f t="shared" si="33"/>
        <v>17</v>
      </c>
      <c r="R32" s="48">
        <f t="shared" si="33"/>
        <v>11</v>
      </c>
      <c r="S32" s="48">
        <f t="shared" si="33"/>
        <v>0</v>
      </c>
      <c r="T32" s="48">
        <f t="shared" si="33"/>
        <v>0</v>
      </c>
      <c r="U32" s="48">
        <f t="shared" si="33"/>
        <v>0</v>
      </c>
      <c r="V32" s="48">
        <f t="shared" si="33"/>
        <v>0</v>
      </c>
      <c r="W32" s="48">
        <f t="shared" si="33"/>
        <v>0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35"/>
      <c r="M33" s="35"/>
      <c r="N33" s="35"/>
      <c r="O33" s="36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35"/>
      <c r="M34" s="35"/>
      <c r="N34" s="35"/>
      <c r="O34" s="36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x14ac:dyDescent="0.2">
      <c r="A35" s="18"/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35"/>
      <c r="M35" s="35"/>
      <c r="N35" s="35"/>
      <c r="O35" s="36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x14ac:dyDescent="0.2">
      <c r="A36" s="18"/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35"/>
      <c r="M36" s="35"/>
      <c r="N36" s="35"/>
      <c r="O36" s="36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x14ac:dyDescent="0.2">
      <c r="A37" s="18"/>
      <c r="B37" s="18"/>
      <c r="C37" s="19"/>
      <c r="D37" s="19"/>
      <c r="E37" s="19"/>
      <c r="F37" s="19"/>
      <c r="G37" s="19"/>
      <c r="H37" s="19"/>
      <c r="I37" s="19"/>
      <c r="J37" s="19"/>
      <c r="K37" s="19"/>
      <c r="L37" s="35"/>
      <c r="M37" s="58" t="e">
        <f>MATCH(R2,Y2:AC2,0)</f>
        <v>#N/A</v>
      </c>
      <c r="N37" s="35"/>
      <c r="O37" s="36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35"/>
      <c r="M38" s="35"/>
      <c r="N38" s="35"/>
      <c r="O38" s="36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35"/>
      <c r="M39" s="35"/>
      <c r="N39" s="35"/>
      <c r="O39" s="36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35"/>
      <c r="M40" s="35"/>
      <c r="N40" s="35"/>
      <c r="O40" s="36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35"/>
      <c r="M41" s="35"/>
      <c r="N41" s="35"/>
      <c r="O41" s="36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35"/>
      <c r="M42" s="35"/>
      <c r="N42" s="35"/>
      <c r="O42" s="36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x14ac:dyDescent="0.2">
      <c r="A43" s="18"/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35"/>
      <c r="M43" s="35"/>
      <c r="N43" s="35"/>
      <c r="O43" s="36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x14ac:dyDescent="0.2">
      <c r="A44" s="18"/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35"/>
      <c r="M44" s="35"/>
      <c r="N44" s="35"/>
      <c r="O44" s="36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</row>
    <row r="45" spans="1:34" x14ac:dyDescent="0.2">
      <c r="A45" s="18"/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35"/>
      <c r="M45" s="35"/>
      <c r="N45" s="35"/>
      <c r="O45" s="36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</sheetData>
  <sheetProtection sheet="1" objects="1" scenarios="1"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26:N26"/>
    <mergeCell ref="G1:K1"/>
    <mergeCell ref="L1:N1"/>
    <mergeCell ref="C21:I21"/>
    <mergeCell ref="I19:J19"/>
  </mergeCells>
  <conditionalFormatting sqref="L3:M17">
    <cfRule type="containsBlanks" priority="65" stopIfTrue="1">
      <formula>LEN(TRIM(L3))=0</formula>
    </cfRule>
  </conditionalFormatting>
  <conditionalFormatting sqref="M5:M17">
    <cfRule type="cellIs" dxfId="19" priority="117" operator="greaterThan">
      <formula>#REF!</formula>
    </cfRule>
    <cfRule type="cellIs" dxfId="18" priority="118" operator="lessThan">
      <formula>#REF!</formula>
    </cfRule>
  </conditionalFormatting>
  <conditionalFormatting sqref="L3:M17">
    <cfRule type="cellIs" dxfId="17" priority="124" operator="greaterThan">
      <formula>G3</formula>
    </cfRule>
    <cfRule type="cellIs" dxfId="16" priority="125" operator="lessThan">
      <formula>G3</formula>
    </cfRule>
  </conditionalFormatting>
  <conditionalFormatting sqref="N3:N17">
    <cfRule type="cellIs" priority="128" stopIfTrue="1" operator="equal">
      <formula>0</formula>
    </cfRule>
    <cfRule type="cellIs" dxfId="15" priority="129" operator="lessThan">
      <formula>K3</formula>
    </cfRule>
    <cfRule type="cellIs" dxfId="14" priority="130" operator="greaterThan">
      <formula>K3</formula>
    </cfRule>
  </conditionalFormatting>
  <conditionalFormatting sqref="O21:W21">
    <cfRule type="expression" dxfId="13" priority="145">
      <formula>O21=N$21</formula>
    </cfRule>
  </conditionalFormatting>
  <conditionalFormatting sqref="O23:W23">
    <cfRule type="cellIs" dxfId="12" priority="22" operator="greaterThan">
      <formula>0</formula>
    </cfRule>
  </conditionalFormatting>
  <conditionalFormatting sqref="O24:W24">
    <cfRule type="cellIs" dxfId="11" priority="21" operator="greaterThan">
      <formula>0</formula>
    </cfRule>
  </conditionalFormatting>
  <conditionalFormatting sqref="G3:H17">
    <cfRule type="expression" dxfId="10" priority="11">
      <formula>FormulaInCell</formula>
    </cfRule>
  </conditionalFormatting>
  <conditionalFormatting sqref="O3:W17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2:W2">
    <cfRule type="expression" dxfId="4" priority="10">
      <formula>O2&gt;MAX($H$3:$H$17)</formula>
    </cfRule>
  </conditionalFormatting>
  <conditionalFormatting sqref="O27:W27">
    <cfRule type="expression" dxfId="3" priority="6">
      <formula>O27&gt;MAX($H$3:$H$17)</formula>
    </cfRule>
  </conditionalFormatting>
  <conditionalFormatting sqref="N20:W20">
    <cfRule type="expression" dxfId="2" priority="4">
      <formula>N20&gt;MAX($H$3:$H$17)</formula>
    </cfRule>
  </conditionalFormatting>
  <conditionalFormatting sqref="O18:W18">
    <cfRule type="cellIs" priority="1" stopIfTrue="1" operator="equal">
      <formula>0</formula>
    </cfRule>
    <cfRule type="cellIs" dxfId="1" priority="2" operator="lessThan">
      <formula>$K$19</formula>
    </cfRule>
    <cfRule type="cellIs" dxfId="0" priority="3" operator="greaterThan">
      <formula>$K$19</formula>
    </cfRule>
  </conditionalFormatting>
  <dataValidations count="2">
    <dataValidation type="decimal" allowBlank="1" showInputMessage="1" showErrorMessage="1" error="Please enter a valid number." sqref="WSV983015:WTE983018 WIZ983015:WJI983018 VZD983015:VZM983018 VPH983015:VPQ983018 VFL983015:VFU983018 UVP983015:UVY983018 ULT983015:UMC983018 UBX983015:UCG983018 TSB983015:TSK983018 TIF983015:TIO983018 SYJ983015:SYS983018 SON983015:SOW983018 SER983015:SFA983018 RUV983015:RVE983018 RKZ983015:RLI983018 RBD983015:RBM983018 QRH983015:QRQ983018 QHL983015:QHU983018 PXP983015:PXY983018 PNT983015:POC983018 PDX983015:PEG983018 OUB983015:OUK983018 OKF983015:OKO983018 OAJ983015:OAS983018 NQN983015:NQW983018 NGR983015:NHA983018 MWV983015:MXE983018 MMZ983015:MNI983018 MDD983015:MDM983018 LTH983015:LTQ983018 LJL983015:LJU983018 KZP983015:KZY983018 KPT983015:KQC983018 KFX983015:KGG983018 JWB983015:JWK983018 JMF983015:JMO983018 JCJ983015:JCS983018 ISN983015:ISW983018 IIR983015:IJA983018 HYV983015:HZE983018 HOZ983015:HPI983018 HFD983015:HFM983018 GVH983015:GVQ983018 GLL983015:GLU983018 GBP983015:GBY983018 FRT983015:FSC983018 FHX983015:FIG983018 EYB983015:EYK983018 EOF983015:EOO983018 EEJ983015:EES983018 DUN983015:DUW983018 DKR983015:DLA983018 DAV983015:DBE983018 CQZ983015:CRI983018 CHD983015:CHM983018 BXH983015:BXQ983018 BNL983015:BNU983018 BDP983015:BDY983018 ATT983015:AUC983018 AJX983015:AKG983018 AAB983015:AAK983018 QF983015:QO983018 GJ983015:GS983018 WSV917479:WTE917482 WIZ917479:WJI917482 VZD917479:VZM917482 VPH917479:VPQ917482 VFL917479:VFU917482 UVP917479:UVY917482 ULT917479:UMC917482 UBX917479:UCG917482 TSB917479:TSK917482 TIF917479:TIO917482 SYJ917479:SYS917482 SON917479:SOW917482 SER917479:SFA917482 RUV917479:RVE917482 RKZ917479:RLI917482 RBD917479:RBM917482 QRH917479:QRQ917482 QHL917479:QHU917482 PXP917479:PXY917482 PNT917479:POC917482 PDX917479:PEG917482 OUB917479:OUK917482 OKF917479:OKO917482 OAJ917479:OAS917482 NQN917479:NQW917482 NGR917479:NHA917482 MWV917479:MXE917482 MMZ917479:MNI917482 MDD917479:MDM917482 LTH917479:LTQ917482 LJL917479:LJU917482 KZP917479:KZY917482 KPT917479:KQC917482 KFX917479:KGG917482 JWB917479:JWK917482 JMF917479:JMO917482 JCJ917479:JCS917482 ISN917479:ISW917482 IIR917479:IJA917482 HYV917479:HZE917482 HOZ917479:HPI917482 HFD917479:HFM917482 GVH917479:GVQ917482 GLL917479:GLU917482 GBP917479:GBY917482 FRT917479:FSC917482 FHX917479:FIG917482 EYB917479:EYK917482 EOF917479:EOO917482 EEJ917479:EES917482 DUN917479:DUW917482 DKR917479:DLA917482 DAV917479:DBE917482 CQZ917479:CRI917482 CHD917479:CHM917482 BXH917479:BXQ917482 BNL917479:BNU917482 BDP917479:BDY917482 ATT917479:AUC917482 AJX917479:AKG917482 AAB917479:AAK917482 QF917479:QO917482 GJ917479:GS917482 WSV851943:WTE851946 WIZ851943:WJI851946 VZD851943:VZM851946 VPH851943:VPQ851946 VFL851943:VFU851946 UVP851943:UVY851946 ULT851943:UMC851946 UBX851943:UCG851946 TSB851943:TSK851946 TIF851943:TIO851946 SYJ851943:SYS851946 SON851943:SOW851946 SER851943:SFA851946 RUV851943:RVE851946 RKZ851943:RLI851946 RBD851943:RBM851946 QRH851943:QRQ851946 QHL851943:QHU851946 PXP851943:PXY851946 PNT851943:POC851946 PDX851943:PEG851946 OUB851943:OUK851946 OKF851943:OKO851946 OAJ851943:OAS851946 NQN851943:NQW851946 NGR851943:NHA851946 MWV851943:MXE851946 MMZ851943:MNI851946 MDD851943:MDM851946 LTH851943:LTQ851946 LJL851943:LJU851946 KZP851943:KZY851946 KPT851943:KQC851946 KFX851943:KGG851946 JWB851943:JWK851946 JMF851943:JMO851946 JCJ851943:JCS851946 ISN851943:ISW851946 IIR851943:IJA851946 HYV851943:HZE851946 HOZ851943:HPI851946 HFD851943:HFM851946 GVH851943:GVQ851946 GLL851943:GLU851946 GBP851943:GBY851946 FRT851943:FSC851946 FHX851943:FIG851946 EYB851943:EYK851946 EOF851943:EOO851946 EEJ851943:EES851946 DUN851943:DUW851946 DKR851943:DLA851946 DAV851943:DBE851946 CQZ851943:CRI851946 CHD851943:CHM851946 BXH851943:BXQ851946 BNL851943:BNU851946 BDP851943:BDY851946 ATT851943:AUC851946 AJX851943:AKG851946 AAB851943:AAK851946 QF851943:QO851946 GJ851943:GS851946 WSV786407:WTE786410 WIZ786407:WJI786410 VZD786407:VZM786410 VPH786407:VPQ786410 VFL786407:VFU786410 UVP786407:UVY786410 ULT786407:UMC786410 UBX786407:UCG786410 TSB786407:TSK786410 TIF786407:TIO786410 SYJ786407:SYS786410 SON786407:SOW786410 SER786407:SFA786410 RUV786407:RVE786410 RKZ786407:RLI786410 RBD786407:RBM786410 QRH786407:QRQ786410 QHL786407:QHU786410 PXP786407:PXY786410 PNT786407:POC786410 PDX786407:PEG786410 OUB786407:OUK786410 OKF786407:OKO786410 OAJ786407:OAS786410 NQN786407:NQW786410 NGR786407:NHA786410 MWV786407:MXE786410 MMZ786407:MNI786410 MDD786407:MDM786410 LTH786407:LTQ786410 LJL786407:LJU786410 KZP786407:KZY786410 KPT786407:KQC786410 KFX786407:KGG786410 JWB786407:JWK786410 JMF786407:JMO786410 JCJ786407:JCS786410 ISN786407:ISW786410 IIR786407:IJA786410 HYV786407:HZE786410 HOZ786407:HPI786410 HFD786407:HFM786410 GVH786407:GVQ786410 GLL786407:GLU786410 GBP786407:GBY786410 FRT786407:FSC786410 FHX786407:FIG786410 EYB786407:EYK786410 EOF786407:EOO786410 EEJ786407:EES786410 DUN786407:DUW786410 DKR786407:DLA786410 DAV786407:DBE786410 CQZ786407:CRI786410 CHD786407:CHM786410 BXH786407:BXQ786410 BNL786407:BNU786410 BDP786407:BDY786410 ATT786407:AUC786410 AJX786407:AKG786410 AAB786407:AAK786410 QF786407:QO786410 GJ786407:GS786410 WSV720871:WTE720874 WIZ720871:WJI720874 VZD720871:VZM720874 VPH720871:VPQ720874 VFL720871:VFU720874 UVP720871:UVY720874 ULT720871:UMC720874 UBX720871:UCG720874 TSB720871:TSK720874 TIF720871:TIO720874 SYJ720871:SYS720874 SON720871:SOW720874 SER720871:SFA720874 RUV720871:RVE720874 RKZ720871:RLI720874 RBD720871:RBM720874 QRH720871:QRQ720874 QHL720871:QHU720874 PXP720871:PXY720874 PNT720871:POC720874 PDX720871:PEG720874 OUB720871:OUK720874 OKF720871:OKO720874 OAJ720871:OAS720874 NQN720871:NQW720874 NGR720871:NHA720874 MWV720871:MXE720874 MMZ720871:MNI720874 MDD720871:MDM720874 LTH720871:LTQ720874 LJL720871:LJU720874 KZP720871:KZY720874 KPT720871:KQC720874 KFX720871:KGG720874 JWB720871:JWK720874 JMF720871:JMO720874 JCJ720871:JCS720874 ISN720871:ISW720874 IIR720871:IJA720874 HYV720871:HZE720874 HOZ720871:HPI720874 HFD720871:HFM720874 GVH720871:GVQ720874 GLL720871:GLU720874 GBP720871:GBY720874 FRT720871:FSC720874 FHX720871:FIG720874 EYB720871:EYK720874 EOF720871:EOO720874 EEJ720871:EES720874 DUN720871:DUW720874 DKR720871:DLA720874 DAV720871:DBE720874 CQZ720871:CRI720874 CHD720871:CHM720874 BXH720871:BXQ720874 BNL720871:BNU720874 BDP720871:BDY720874 ATT720871:AUC720874 AJX720871:AKG720874 AAB720871:AAK720874 QF720871:QO720874 GJ720871:GS720874 WSV655335:WTE655338 WIZ655335:WJI655338 VZD655335:VZM655338 VPH655335:VPQ655338 VFL655335:VFU655338 UVP655335:UVY655338 ULT655335:UMC655338 UBX655335:UCG655338 TSB655335:TSK655338 TIF655335:TIO655338 SYJ655335:SYS655338 SON655335:SOW655338 SER655335:SFA655338 RUV655335:RVE655338 RKZ655335:RLI655338 RBD655335:RBM655338 QRH655335:QRQ655338 QHL655335:QHU655338 PXP655335:PXY655338 PNT655335:POC655338 PDX655335:PEG655338 OUB655335:OUK655338 OKF655335:OKO655338 OAJ655335:OAS655338 NQN655335:NQW655338 NGR655335:NHA655338 MWV655335:MXE655338 MMZ655335:MNI655338 MDD655335:MDM655338 LTH655335:LTQ655338 LJL655335:LJU655338 KZP655335:KZY655338 KPT655335:KQC655338 KFX655335:KGG655338 JWB655335:JWK655338 JMF655335:JMO655338 JCJ655335:JCS655338 ISN655335:ISW655338 IIR655335:IJA655338 HYV655335:HZE655338 HOZ655335:HPI655338 HFD655335:HFM655338 GVH655335:GVQ655338 GLL655335:GLU655338 GBP655335:GBY655338 FRT655335:FSC655338 FHX655335:FIG655338 EYB655335:EYK655338 EOF655335:EOO655338 EEJ655335:EES655338 DUN655335:DUW655338 DKR655335:DLA655338 DAV655335:DBE655338 CQZ655335:CRI655338 CHD655335:CHM655338 BXH655335:BXQ655338 BNL655335:BNU655338 BDP655335:BDY655338 ATT655335:AUC655338 AJX655335:AKG655338 AAB655335:AAK655338 QF655335:QO655338 GJ655335:GS655338 WSV589799:WTE589802 WIZ589799:WJI589802 VZD589799:VZM589802 VPH589799:VPQ589802 VFL589799:VFU589802 UVP589799:UVY589802 ULT589799:UMC589802 UBX589799:UCG589802 TSB589799:TSK589802 TIF589799:TIO589802 SYJ589799:SYS589802 SON589799:SOW589802 SER589799:SFA589802 RUV589799:RVE589802 RKZ589799:RLI589802 RBD589799:RBM589802 QRH589799:QRQ589802 QHL589799:QHU589802 PXP589799:PXY589802 PNT589799:POC589802 PDX589799:PEG589802 OUB589799:OUK589802 OKF589799:OKO589802 OAJ589799:OAS589802 NQN589799:NQW589802 NGR589799:NHA589802 MWV589799:MXE589802 MMZ589799:MNI589802 MDD589799:MDM589802 LTH589799:LTQ589802 LJL589799:LJU589802 KZP589799:KZY589802 KPT589799:KQC589802 KFX589799:KGG589802 JWB589799:JWK589802 JMF589799:JMO589802 JCJ589799:JCS589802 ISN589799:ISW589802 IIR589799:IJA589802 HYV589799:HZE589802 HOZ589799:HPI589802 HFD589799:HFM589802 GVH589799:GVQ589802 GLL589799:GLU589802 GBP589799:GBY589802 FRT589799:FSC589802 FHX589799:FIG589802 EYB589799:EYK589802 EOF589799:EOO589802 EEJ589799:EES589802 DUN589799:DUW589802 DKR589799:DLA589802 DAV589799:DBE589802 CQZ589799:CRI589802 CHD589799:CHM589802 BXH589799:BXQ589802 BNL589799:BNU589802 BDP589799:BDY589802 ATT589799:AUC589802 AJX589799:AKG589802 AAB589799:AAK589802 QF589799:QO589802 GJ589799:GS589802 WSV524263:WTE524266 WIZ524263:WJI524266 VZD524263:VZM524266 VPH524263:VPQ524266 VFL524263:VFU524266 UVP524263:UVY524266 ULT524263:UMC524266 UBX524263:UCG524266 TSB524263:TSK524266 TIF524263:TIO524266 SYJ524263:SYS524266 SON524263:SOW524266 SER524263:SFA524266 RUV524263:RVE524266 RKZ524263:RLI524266 RBD524263:RBM524266 QRH524263:QRQ524266 QHL524263:QHU524266 PXP524263:PXY524266 PNT524263:POC524266 PDX524263:PEG524266 OUB524263:OUK524266 OKF524263:OKO524266 OAJ524263:OAS524266 NQN524263:NQW524266 NGR524263:NHA524266 MWV524263:MXE524266 MMZ524263:MNI524266 MDD524263:MDM524266 LTH524263:LTQ524266 LJL524263:LJU524266 KZP524263:KZY524266 KPT524263:KQC524266 KFX524263:KGG524266 JWB524263:JWK524266 JMF524263:JMO524266 JCJ524263:JCS524266 ISN524263:ISW524266 IIR524263:IJA524266 HYV524263:HZE524266 HOZ524263:HPI524266 HFD524263:HFM524266 GVH524263:GVQ524266 GLL524263:GLU524266 GBP524263:GBY524266 FRT524263:FSC524266 FHX524263:FIG524266 EYB524263:EYK524266 EOF524263:EOO524266 EEJ524263:EES524266 DUN524263:DUW524266 DKR524263:DLA524266 DAV524263:DBE524266 CQZ524263:CRI524266 CHD524263:CHM524266 BXH524263:BXQ524266 BNL524263:BNU524266 BDP524263:BDY524266 ATT524263:AUC524266 AJX524263:AKG524266 AAB524263:AAK524266 QF524263:QO524266 GJ524263:GS524266 WSV458727:WTE458730 WIZ458727:WJI458730 VZD458727:VZM458730 VPH458727:VPQ458730 VFL458727:VFU458730 UVP458727:UVY458730 ULT458727:UMC458730 UBX458727:UCG458730 TSB458727:TSK458730 TIF458727:TIO458730 SYJ458727:SYS458730 SON458727:SOW458730 SER458727:SFA458730 RUV458727:RVE458730 RKZ458727:RLI458730 RBD458727:RBM458730 QRH458727:QRQ458730 QHL458727:QHU458730 PXP458727:PXY458730 PNT458727:POC458730 PDX458727:PEG458730 OUB458727:OUK458730 OKF458727:OKO458730 OAJ458727:OAS458730 NQN458727:NQW458730 NGR458727:NHA458730 MWV458727:MXE458730 MMZ458727:MNI458730 MDD458727:MDM458730 LTH458727:LTQ458730 LJL458727:LJU458730 KZP458727:KZY458730 KPT458727:KQC458730 KFX458727:KGG458730 JWB458727:JWK458730 JMF458727:JMO458730 JCJ458727:JCS458730 ISN458727:ISW458730 IIR458727:IJA458730 HYV458727:HZE458730 HOZ458727:HPI458730 HFD458727:HFM458730 GVH458727:GVQ458730 GLL458727:GLU458730 GBP458727:GBY458730 FRT458727:FSC458730 FHX458727:FIG458730 EYB458727:EYK458730 EOF458727:EOO458730 EEJ458727:EES458730 DUN458727:DUW458730 DKR458727:DLA458730 DAV458727:DBE458730 CQZ458727:CRI458730 CHD458727:CHM458730 BXH458727:BXQ458730 BNL458727:BNU458730 BDP458727:BDY458730 ATT458727:AUC458730 AJX458727:AKG458730 AAB458727:AAK458730 QF458727:QO458730 GJ458727:GS458730 WSV393191:WTE393194 WIZ393191:WJI393194 VZD393191:VZM393194 VPH393191:VPQ393194 VFL393191:VFU393194 UVP393191:UVY393194 ULT393191:UMC393194 UBX393191:UCG393194 TSB393191:TSK393194 TIF393191:TIO393194 SYJ393191:SYS393194 SON393191:SOW393194 SER393191:SFA393194 RUV393191:RVE393194 RKZ393191:RLI393194 RBD393191:RBM393194 QRH393191:QRQ393194 QHL393191:QHU393194 PXP393191:PXY393194 PNT393191:POC393194 PDX393191:PEG393194 OUB393191:OUK393194 OKF393191:OKO393194 OAJ393191:OAS393194 NQN393191:NQW393194 NGR393191:NHA393194 MWV393191:MXE393194 MMZ393191:MNI393194 MDD393191:MDM393194 LTH393191:LTQ393194 LJL393191:LJU393194 KZP393191:KZY393194 KPT393191:KQC393194 KFX393191:KGG393194 JWB393191:JWK393194 JMF393191:JMO393194 JCJ393191:JCS393194 ISN393191:ISW393194 IIR393191:IJA393194 HYV393191:HZE393194 HOZ393191:HPI393194 HFD393191:HFM393194 GVH393191:GVQ393194 GLL393191:GLU393194 GBP393191:GBY393194 FRT393191:FSC393194 FHX393191:FIG393194 EYB393191:EYK393194 EOF393191:EOO393194 EEJ393191:EES393194 DUN393191:DUW393194 DKR393191:DLA393194 DAV393191:DBE393194 CQZ393191:CRI393194 CHD393191:CHM393194 BXH393191:BXQ393194 BNL393191:BNU393194 BDP393191:BDY393194 ATT393191:AUC393194 AJX393191:AKG393194 AAB393191:AAK393194 QF393191:QO393194 GJ393191:GS393194 WSV327655:WTE327658 WIZ327655:WJI327658 VZD327655:VZM327658 VPH327655:VPQ327658 VFL327655:VFU327658 UVP327655:UVY327658 ULT327655:UMC327658 UBX327655:UCG327658 TSB327655:TSK327658 TIF327655:TIO327658 SYJ327655:SYS327658 SON327655:SOW327658 SER327655:SFA327658 RUV327655:RVE327658 RKZ327655:RLI327658 RBD327655:RBM327658 QRH327655:QRQ327658 QHL327655:QHU327658 PXP327655:PXY327658 PNT327655:POC327658 PDX327655:PEG327658 OUB327655:OUK327658 OKF327655:OKO327658 OAJ327655:OAS327658 NQN327655:NQW327658 NGR327655:NHA327658 MWV327655:MXE327658 MMZ327655:MNI327658 MDD327655:MDM327658 LTH327655:LTQ327658 LJL327655:LJU327658 KZP327655:KZY327658 KPT327655:KQC327658 KFX327655:KGG327658 JWB327655:JWK327658 JMF327655:JMO327658 JCJ327655:JCS327658 ISN327655:ISW327658 IIR327655:IJA327658 HYV327655:HZE327658 HOZ327655:HPI327658 HFD327655:HFM327658 GVH327655:GVQ327658 GLL327655:GLU327658 GBP327655:GBY327658 FRT327655:FSC327658 FHX327655:FIG327658 EYB327655:EYK327658 EOF327655:EOO327658 EEJ327655:EES327658 DUN327655:DUW327658 DKR327655:DLA327658 DAV327655:DBE327658 CQZ327655:CRI327658 CHD327655:CHM327658 BXH327655:BXQ327658 BNL327655:BNU327658 BDP327655:BDY327658 ATT327655:AUC327658 AJX327655:AKG327658 AAB327655:AAK327658 QF327655:QO327658 GJ327655:GS327658 WSV262119:WTE262122 WIZ262119:WJI262122 VZD262119:VZM262122 VPH262119:VPQ262122 VFL262119:VFU262122 UVP262119:UVY262122 ULT262119:UMC262122 UBX262119:UCG262122 TSB262119:TSK262122 TIF262119:TIO262122 SYJ262119:SYS262122 SON262119:SOW262122 SER262119:SFA262122 RUV262119:RVE262122 RKZ262119:RLI262122 RBD262119:RBM262122 QRH262119:QRQ262122 QHL262119:QHU262122 PXP262119:PXY262122 PNT262119:POC262122 PDX262119:PEG262122 OUB262119:OUK262122 OKF262119:OKO262122 OAJ262119:OAS262122 NQN262119:NQW262122 NGR262119:NHA262122 MWV262119:MXE262122 MMZ262119:MNI262122 MDD262119:MDM262122 LTH262119:LTQ262122 LJL262119:LJU262122 KZP262119:KZY262122 KPT262119:KQC262122 KFX262119:KGG262122 JWB262119:JWK262122 JMF262119:JMO262122 JCJ262119:JCS262122 ISN262119:ISW262122 IIR262119:IJA262122 HYV262119:HZE262122 HOZ262119:HPI262122 HFD262119:HFM262122 GVH262119:GVQ262122 GLL262119:GLU262122 GBP262119:GBY262122 FRT262119:FSC262122 FHX262119:FIG262122 EYB262119:EYK262122 EOF262119:EOO262122 EEJ262119:EES262122 DUN262119:DUW262122 DKR262119:DLA262122 DAV262119:DBE262122 CQZ262119:CRI262122 CHD262119:CHM262122 BXH262119:BXQ262122 BNL262119:BNU262122 BDP262119:BDY262122 ATT262119:AUC262122 AJX262119:AKG262122 AAB262119:AAK262122 QF262119:QO262122 GJ262119:GS262122 WSV196583:WTE196586 WIZ196583:WJI196586 VZD196583:VZM196586 VPH196583:VPQ196586 VFL196583:VFU196586 UVP196583:UVY196586 ULT196583:UMC196586 UBX196583:UCG196586 TSB196583:TSK196586 TIF196583:TIO196586 SYJ196583:SYS196586 SON196583:SOW196586 SER196583:SFA196586 RUV196583:RVE196586 RKZ196583:RLI196586 RBD196583:RBM196586 QRH196583:QRQ196586 QHL196583:QHU196586 PXP196583:PXY196586 PNT196583:POC196586 PDX196583:PEG196586 OUB196583:OUK196586 OKF196583:OKO196586 OAJ196583:OAS196586 NQN196583:NQW196586 NGR196583:NHA196586 MWV196583:MXE196586 MMZ196583:MNI196586 MDD196583:MDM196586 LTH196583:LTQ196586 LJL196583:LJU196586 KZP196583:KZY196586 KPT196583:KQC196586 KFX196583:KGG196586 JWB196583:JWK196586 JMF196583:JMO196586 JCJ196583:JCS196586 ISN196583:ISW196586 IIR196583:IJA196586 HYV196583:HZE196586 HOZ196583:HPI196586 HFD196583:HFM196586 GVH196583:GVQ196586 GLL196583:GLU196586 GBP196583:GBY196586 FRT196583:FSC196586 FHX196583:FIG196586 EYB196583:EYK196586 EOF196583:EOO196586 EEJ196583:EES196586 DUN196583:DUW196586 DKR196583:DLA196586 DAV196583:DBE196586 CQZ196583:CRI196586 CHD196583:CHM196586 BXH196583:BXQ196586 BNL196583:BNU196586 BDP196583:BDY196586 ATT196583:AUC196586 AJX196583:AKG196586 AAB196583:AAK196586 QF196583:QO196586 GJ196583:GS196586 WSV131047:WTE131050 WIZ131047:WJI131050 VZD131047:VZM131050 VPH131047:VPQ131050 VFL131047:VFU131050 UVP131047:UVY131050 ULT131047:UMC131050 UBX131047:UCG131050 TSB131047:TSK131050 TIF131047:TIO131050 SYJ131047:SYS131050 SON131047:SOW131050 SER131047:SFA131050 RUV131047:RVE131050 RKZ131047:RLI131050 RBD131047:RBM131050 QRH131047:QRQ131050 QHL131047:QHU131050 PXP131047:PXY131050 PNT131047:POC131050 PDX131047:PEG131050 OUB131047:OUK131050 OKF131047:OKO131050 OAJ131047:OAS131050 NQN131047:NQW131050 NGR131047:NHA131050 MWV131047:MXE131050 MMZ131047:MNI131050 MDD131047:MDM131050 LTH131047:LTQ131050 LJL131047:LJU131050 KZP131047:KZY131050 KPT131047:KQC131050 KFX131047:KGG131050 JWB131047:JWK131050 JMF131047:JMO131050 JCJ131047:JCS131050 ISN131047:ISW131050 IIR131047:IJA131050 HYV131047:HZE131050 HOZ131047:HPI131050 HFD131047:HFM131050 GVH131047:GVQ131050 GLL131047:GLU131050 GBP131047:GBY131050 FRT131047:FSC131050 FHX131047:FIG131050 EYB131047:EYK131050 EOF131047:EOO131050 EEJ131047:EES131050 DUN131047:DUW131050 DKR131047:DLA131050 DAV131047:DBE131050 CQZ131047:CRI131050 CHD131047:CHM131050 BXH131047:BXQ131050 BNL131047:BNU131050 BDP131047:BDY131050 ATT131047:AUC131050 AJX131047:AKG131050 AAB131047:AAK131050 QF131047:QO131050 GJ131047:GS131050 WSV65511:WTE65514 WIZ65511:WJI65514 VZD65511:VZM65514 VPH65511:VPQ65514 VFL65511:VFU65514 UVP65511:UVY65514 ULT65511:UMC65514 UBX65511:UCG65514 TSB65511:TSK65514 TIF65511:TIO65514 SYJ65511:SYS65514 SON65511:SOW65514 SER65511:SFA65514 RUV65511:RVE65514 RKZ65511:RLI65514 RBD65511:RBM65514 QRH65511:QRQ65514 QHL65511:QHU65514 PXP65511:PXY65514 PNT65511:POC65514 PDX65511:PEG65514 OUB65511:OUK65514 OKF65511:OKO65514 OAJ65511:OAS65514 NQN65511:NQW65514 NGR65511:NHA65514 MWV65511:MXE65514 MMZ65511:MNI65514 MDD65511:MDM65514 LTH65511:LTQ65514 LJL65511:LJU65514 KZP65511:KZY65514 KPT65511:KQC65514 KFX65511:KGG65514 JWB65511:JWK65514 JMF65511:JMO65514 JCJ65511:JCS65514 ISN65511:ISW65514 IIR65511:IJA65514 HYV65511:HZE65514 HOZ65511:HPI65514 HFD65511:HFM65514 GVH65511:GVQ65514 GLL65511:GLU65514 GBP65511:GBY65514 FRT65511:FSC65514 FHX65511:FIG65514 EYB65511:EYK65514 EOF65511:EOO65514 EEJ65511:EES65514 DUN65511:DUW65514 DKR65511:DLA65514 DAV65511:DBE65514 CQZ65511:CRI65514 CHD65511:CHM65514 BXH65511:BXQ65514 BNL65511:BNU65514 BDP65511:BDY65514 ATT65511:AUC65514 AJX65511:AKG65514 AAB65511:AAK65514 QF65511:QO65514 GJ65511:GS65514 O983015:W983018 O917479:W917482 O851943:W851946 O786407:W786410 O720871:W720874 O655335:W655338 O589799:W589802 O524263:W524266 O458727:W458730 O393191:W393194 O327655:W327658 O262119:W262122 O196583:W196586 O131047:W131050 O65511:W65514">
      <formula1>-100000000</formula1>
      <formula2>100000000</formula2>
    </dataValidation>
    <dataValidation type="list" allowBlank="1" showInputMessage="1" showErrorMessage="1" sqref="G4:G17 H3:H17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2013-04-06T11:18:24Z</dcterms:modified>
</cp:coreProperties>
</file>