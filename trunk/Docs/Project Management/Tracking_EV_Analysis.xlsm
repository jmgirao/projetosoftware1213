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P40" i="2" l="1"/>
  <c r="Q40" i="2" s="1"/>
  <c r="R40" i="2" s="1"/>
  <c r="S40" i="2" s="1"/>
  <c r="T40" i="2" s="1"/>
  <c r="U40" i="2" s="1"/>
  <c r="V40" i="2" s="1"/>
  <c r="W40" i="2" s="1"/>
  <c r="P41" i="2"/>
  <c r="Q41" i="2" s="1"/>
  <c r="R41" i="2" s="1"/>
  <c r="S41" i="2" s="1"/>
  <c r="T41" i="2" s="1"/>
  <c r="U41" i="2" s="1"/>
  <c r="V41" i="2" s="1"/>
  <c r="W41" i="2" s="1"/>
  <c r="P42" i="2"/>
  <c r="P43" i="2"/>
  <c r="Q43" i="2" s="1"/>
  <c r="P44" i="2"/>
  <c r="Q44" i="2" s="1"/>
  <c r="R44" i="2" s="1"/>
  <c r="S44" i="2" s="1"/>
  <c r="T44" i="2" s="1"/>
  <c r="U44" i="2" s="1"/>
  <c r="V44" i="2" s="1"/>
  <c r="W44" i="2" s="1"/>
  <c r="P45" i="2"/>
  <c r="Q45" i="2" s="1"/>
  <c r="R45" i="2" s="1"/>
  <c r="S45" i="2" s="1"/>
  <c r="T45" i="2" s="1"/>
  <c r="U45" i="2" s="1"/>
  <c r="V45" i="2" s="1"/>
  <c r="W45" i="2" s="1"/>
  <c r="P46" i="2"/>
  <c r="P47" i="2"/>
  <c r="Q47" i="2" s="1"/>
  <c r="P48" i="2"/>
  <c r="Q48" i="2" s="1"/>
  <c r="R48" i="2" s="1"/>
  <c r="S48" i="2" s="1"/>
  <c r="T48" i="2" s="1"/>
  <c r="U48" i="2" s="1"/>
  <c r="V48" i="2" s="1"/>
  <c r="W48" i="2" s="1"/>
  <c r="P49" i="2"/>
  <c r="Q49" i="2" l="1"/>
  <c r="R49" i="2" s="1"/>
  <c r="S49" i="2" s="1"/>
  <c r="T49" i="2" s="1"/>
  <c r="U49" i="2" s="1"/>
  <c r="V49" i="2" s="1"/>
  <c r="W49" i="2" s="1"/>
  <c r="L41" i="2" a="1"/>
  <c r="L41" i="2" s="1"/>
  <c r="L45" i="2" a="1"/>
  <c r="L45" i="2" s="1"/>
  <c r="M49" i="2"/>
  <c r="M45" i="2"/>
  <c r="M41" i="2"/>
  <c r="L48" i="2" a="1"/>
  <c r="L48" i="2" s="1"/>
  <c r="L40" i="2" a="1"/>
  <c r="L40" i="2" s="1"/>
  <c r="R47" i="2"/>
  <c r="S47" i="2" s="1"/>
  <c r="T47" i="2" s="1"/>
  <c r="U47" i="2" s="1"/>
  <c r="V47" i="2" s="1"/>
  <c r="W47" i="2" s="1"/>
  <c r="N47" i="2"/>
  <c r="R43" i="2"/>
  <c r="S43" i="2" s="1"/>
  <c r="T43" i="2" s="1"/>
  <c r="U43" i="2" s="1"/>
  <c r="V43" i="2" s="1"/>
  <c r="W43" i="2" s="1"/>
  <c r="L44" i="2" a="1"/>
  <c r="L44" i="2" s="1"/>
  <c r="N48" i="2"/>
  <c r="N44" i="2"/>
  <c r="N40" i="2"/>
  <c r="M48" i="2"/>
  <c r="M44" i="2"/>
  <c r="M40" i="2"/>
  <c r="N49" i="2"/>
  <c r="Q46" i="2"/>
  <c r="N45" i="2"/>
  <c r="Q42" i="2"/>
  <c r="N41" i="2"/>
  <c r="O61" i="2"/>
  <c r="M5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L49" i="2" l="1" a="1"/>
  <c r="L49" i="2" s="1"/>
  <c r="L47" i="2" a="1"/>
  <c r="L47" i="2" s="1"/>
  <c r="N43" i="2"/>
  <c r="R42" i="2"/>
  <c r="S42" i="2" s="1"/>
  <c r="T42" i="2" s="1"/>
  <c r="U42" i="2" s="1"/>
  <c r="V42" i="2" s="1"/>
  <c r="W42" i="2" s="1"/>
  <c r="R46" i="2"/>
  <c r="M47" i="2"/>
  <c r="M42" i="2"/>
  <c r="N42" i="2"/>
  <c r="L43" i="2" a="1"/>
  <c r="L43" i="2" s="1"/>
  <c r="M43" i="2"/>
  <c r="N7" i="2"/>
  <c r="Q3" i="2"/>
  <c r="N4" i="2"/>
  <c r="N5" i="2"/>
  <c r="N6" i="2"/>
  <c r="N8" i="2"/>
  <c r="N9" i="2"/>
  <c r="N10" i="2"/>
  <c r="N11" i="2"/>
  <c r="L5" i="2" a="1"/>
  <c r="L5" i="2" s="1"/>
  <c r="L8" i="2" a="1"/>
  <c r="L8" i="2" s="1"/>
  <c r="L9" i="2" a="1"/>
  <c r="L9" i="2" s="1"/>
  <c r="L10" i="2" a="1"/>
  <c r="L10" i="2" s="1"/>
  <c r="L11" i="2" a="1"/>
  <c r="L11" i="2" s="1"/>
  <c r="L42" i="2" l="1" a="1"/>
  <c r="L42" i="2" s="1"/>
  <c r="S46" i="2"/>
  <c r="R3" i="2"/>
  <c r="S3" i="2" s="1"/>
  <c r="O56" i="2"/>
  <c r="W52" i="2"/>
  <c r="O5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67" i="2"/>
  <c r="P67" i="2"/>
  <c r="Q67" i="2"/>
  <c r="R67" i="2"/>
  <c r="S67" i="2"/>
  <c r="T67" i="2"/>
  <c r="U67" i="2"/>
  <c r="V67" i="2"/>
  <c r="W67" i="2"/>
  <c r="T46" i="2" l="1"/>
  <c r="Q32" i="2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L36" i="2" a="1"/>
  <c r="L36" i="2" s="1"/>
  <c r="S31" i="2"/>
  <c r="T31" i="2" s="1"/>
  <c r="U31" i="2" s="1"/>
  <c r="V31" i="2" s="1"/>
  <c r="W31" i="2" s="1"/>
  <c r="Q35" i="2"/>
  <c r="R35" i="2" s="1"/>
  <c r="S35" i="2" s="1"/>
  <c r="T35" i="2" s="1"/>
  <c r="U35" i="2" s="1"/>
  <c r="V35" i="2" s="1"/>
  <c r="W35" i="2" s="1"/>
  <c r="L7" i="2" a="1"/>
  <c r="L7" i="2" s="1"/>
  <c r="M4" i="2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Q34" i="2"/>
  <c r="R34" i="2" s="1"/>
  <c r="S34" i="2" s="1"/>
  <c r="T34" i="2" s="1"/>
  <c r="U34" i="2" s="1"/>
  <c r="V34" i="2" s="1"/>
  <c r="W34" i="2" s="1"/>
  <c r="N52" i="2"/>
  <c r="T14" i="2"/>
  <c r="T3" i="2"/>
  <c r="W12" i="2"/>
  <c r="M12" i="2" s="1"/>
  <c r="W37" i="2"/>
  <c r="M37" i="2" s="1"/>
  <c r="W13" i="2"/>
  <c r="M13" i="2" s="1"/>
  <c r="N67" i="2"/>
  <c r="R39" i="2"/>
  <c r="K53" i="2"/>
  <c r="L34" i="2" l="1" a="1"/>
  <c r="L34" i="2" s="1"/>
  <c r="M35" i="2"/>
  <c r="M33" i="2"/>
  <c r="L35" i="2" a="1"/>
  <c r="L35" i="2" s="1"/>
  <c r="M31" i="2"/>
  <c r="L31" i="2" a="1"/>
  <c r="L31" i="2" s="1"/>
  <c r="U46" i="2"/>
  <c r="L32" i="2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U14" i="2"/>
  <c r="U3" i="2"/>
  <c r="N39" i="2" l="1"/>
  <c r="V46" i="2"/>
  <c r="W46" i="2" s="1"/>
  <c r="N46" i="2" s="1"/>
  <c r="M39" i="2"/>
  <c r="L39" i="2" a="1"/>
  <c r="L39" i="2" s="1"/>
  <c r="V14" i="2"/>
  <c r="V3" i="2"/>
  <c r="M46" i="2" l="1"/>
  <c r="L46" i="2" a="1"/>
  <c r="L46" i="2" s="1"/>
  <c r="W14" i="2"/>
  <c r="M14" i="2" s="1"/>
  <c r="W3" i="2"/>
  <c r="N3" i="2" s="1"/>
  <c r="O60" i="2"/>
  <c r="O66" i="2"/>
  <c r="P50" i="2"/>
  <c r="O55" i="2" l="1"/>
  <c r="P56" i="2"/>
  <c r="Q38" i="2"/>
  <c r="Q66" i="2"/>
  <c r="P60" i="2"/>
  <c r="O68" i="2"/>
  <c r="N13" i="2"/>
  <c r="N35" i="2"/>
  <c r="N33" i="2"/>
  <c r="N32" i="2"/>
  <c r="N15" i="2"/>
  <c r="P61" i="2"/>
  <c r="P66" i="2"/>
  <c r="P55" i="2" l="1"/>
  <c r="Q50" i="2"/>
  <c r="Q56" i="2"/>
  <c r="Q60" i="2"/>
  <c r="R38" i="2"/>
  <c r="P68" i="2"/>
  <c r="R66" i="2"/>
  <c r="N34" i="2"/>
  <c r="N37" i="2"/>
  <c r="Q61" i="2"/>
  <c r="R60" i="2"/>
  <c r="N16" i="2"/>
  <c r="N36" i="2"/>
  <c r="Q68" i="2" l="1"/>
  <c r="Q55" i="2"/>
  <c r="R50" i="2"/>
  <c r="R56" i="2"/>
  <c r="S38" i="2"/>
  <c r="S60" i="2" s="1"/>
  <c r="S66" i="2"/>
  <c r="R61" i="2"/>
  <c r="R68" i="2" s="1"/>
  <c r="R55" i="2" l="1"/>
  <c r="S50" i="2"/>
  <c r="T38" i="2"/>
  <c r="T50" i="2" s="1"/>
  <c r="S61" i="2"/>
  <c r="S68" i="2" s="1"/>
  <c r="T66" i="2"/>
  <c r="T60" i="2" l="1"/>
  <c r="U38" i="2"/>
  <c r="U50" i="2" s="1"/>
  <c r="U60" i="2"/>
  <c r="U66" i="2"/>
  <c r="T61" i="2"/>
  <c r="T68" i="2" l="1"/>
  <c r="V38" i="2"/>
  <c r="V66" i="2"/>
  <c r="U61" i="2"/>
  <c r="U68" i="2" s="1"/>
  <c r="V50" i="2" l="1"/>
  <c r="V60" i="2"/>
  <c r="W38" i="2"/>
  <c r="W50" i="2" s="1"/>
  <c r="N14" i="2"/>
  <c r="V61" i="2"/>
  <c r="L38" i="2" l="1" a="1"/>
  <c r="L38" i="2" s="1"/>
  <c r="M38" i="2"/>
  <c r="V68" i="2"/>
  <c r="W60" i="2"/>
  <c r="N38" i="2"/>
  <c r="W61" i="2"/>
  <c r="W68" i="2" l="1"/>
  <c r="N66" i="2"/>
  <c r="N31" i="2"/>
  <c r="N60" i="2" l="1"/>
  <c r="N61" i="2"/>
  <c r="N12" i="2"/>
  <c r="N68" i="2" l="1"/>
  <c r="P2" i="2" l="1"/>
  <c r="L12" i="2" a="1"/>
  <c r="L12" i="2" s="1"/>
  <c r="M3" i="2"/>
  <c r="O59" i="2"/>
  <c r="L3" i="2" a="1"/>
  <c r="L3" i="2" s="1"/>
  <c r="O52" i="2" l="1"/>
  <c r="O53" i="2" s="1"/>
  <c r="L13" i="2" a="1"/>
  <c r="L13" i="2" s="1"/>
  <c r="Q2" i="2"/>
  <c r="R2" i="2" s="1"/>
  <c r="P59" i="2"/>
  <c r="P52" i="2" l="1"/>
  <c r="P53" i="2" s="1"/>
  <c r="L16" i="2" a="1"/>
  <c r="L16" i="2" s="1"/>
  <c r="L14" i="2" a="1"/>
  <c r="L14" i="2" s="1"/>
  <c r="Q59" i="2"/>
  <c r="Q52" i="2"/>
  <c r="Q53" i="2" l="1"/>
  <c r="S2" i="2"/>
  <c r="R59" i="2"/>
  <c r="R52" i="2" l="1"/>
  <c r="R53" i="2" s="1"/>
  <c r="T2" i="2"/>
  <c r="S59" i="2"/>
  <c r="S52" i="2" l="1"/>
  <c r="S53" i="2" s="1"/>
  <c r="T59" i="2"/>
  <c r="U2" i="2"/>
  <c r="T52" i="2" l="1"/>
  <c r="T53" i="2" s="1"/>
  <c r="V2" i="2"/>
  <c r="L15" i="2" a="1"/>
  <c r="L15" i="2" s="1"/>
  <c r="U59" i="2"/>
  <c r="W2" i="2" l="1"/>
  <c r="J50" i="2" s="1"/>
  <c r="U52" i="2"/>
  <c r="U53" i="2" s="1"/>
  <c r="V59" i="2"/>
  <c r="V52" i="2" l="1"/>
  <c r="K51" i="2"/>
  <c r="N54" i="2" l="1"/>
  <c r="O54" i="2" s="1" a="1"/>
  <c r="O54" i="2" s="1"/>
  <c r="P54" i="2" s="1" a="1"/>
  <c r="P54" i="2" s="1"/>
  <c r="Q54" i="2" s="1" a="1"/>
  <c r="Q54" i="2" s="1"/>
  <c r="R54" i="2" s="1" a="1"/>
  <c r="R54" i="2" s="1"/>
  <c r="S54" i="2" s="1" a="1"/>
  <c r="S54" i="2" s="1"/>
  <c r="T54" i="2" s="1" a="1"/>
  <c r="T54" i="2" s="1"/>
  <c r="U54" i="2" s="1" a="1"/>
  <c r="U54" i="2" s="1"/>
  <c r="J53" i="2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<sst xmlns="http://schemas.openxmlformats.org/spreadsheetml/2006/main" count="241" uniqueCount="135">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</sst>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Tracking'!$N$53:$W$53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Tracking'!$N$54:$W$54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36</c:v>
                </c:pt>
                <c:pt idx="3">
                  <c:v>85.75</c:v>
                </c:pt>
                <c:pt idx="4">
                  <c:v>85.75</c:v>
                </c:pt>
                <c:pt idx="5">
                  <c:v>145.75</c:v>
                </c:pt>
                <c:pt idx="6">
                  <c:v>193.75</c:v>
                </c:pt>
                <c:pt idx="7">
                  <c:v>230.75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Tracking'!$N$55:$W$55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Tracking'!$N$56:$W$56</c:f>
              <c:numCache>
                <c:formatCode>General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813024"/>
        <c:axId val="78813584"/>
      </c:lineChart>
      <c:catAx>
        <c:axId val="788130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8813584"/>
        <c:crosses val="autoZero"/>
        <c:auto val="0"/>
        <c:lblAlgn val="ctr"/>
        <c:lblOffset val="100"/>
        <c:noMultiLvlLbl val="0"/>
      </c:catAx>
      <c:valAx>
        <c:axId val="788135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8813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21" activePane="bottomRight" state="frozen"/>
      <selection pane="topRight" activeCell="F1" sqref="F1"/>
      <selection pane="bottomLeft" activeCell="A3" sqref="A3"/>
      <selection pane="bottomRight" activeCell="K52" sqref="K52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124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41372</v>
      </c>
      <c r="N4" s="56">
        <f t="shared" ref="N4:N39" si="3">SUM(O4:CG4)</f>
        <v>10.5</v>
      </c>
      <c r="O4" s="51">
        <v>10.5</v>
      </c>
      <c r="P4" s="51" t="s">
        <v>123</v>
      </c>
      <c r="Q4" s="51" t="s">
        <v>123</v>
      </c>
      <c r="R4" s="51" t="s">
        <v>123</v>
      </c>
      <c r="S4" s="51" t="s">
        <v>123</v>
      </c>
      <c r="T4" s="51" t="s">
        <v>123</v>
      </c>
      <c r="U4" s="51" t="s">
        <v>123</v>
      </c>
      <c r="V4" s="51" t="s">
        <v>124</v>
      </c>
      <c r="W4" s="51" t="s">
        <v>123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 t="s">
        <v>122</v>
      </c>
      <c r="G5" s="45">
        <v>41384</v>
      </c>
      <c r="H5" s="45">
        <v>41393</v>
      </c>
      <c r="I5" s="46"/>
      <c r="J5" s="43">
        <v>1</v>
      </c>
      <c r="K5" s="3">
        <v>0.75</v>
      </c>
      <c r="L5" s="55" t="str">
        <f t="array" ref="L5">IF(ISNA(INDEX($O$2:$DA$2,1,MATCH(1,IF($O5:$DM5,1),0))),"",INDEX($O$2:$DA$2,1,MATCH(1,IF($O5:$DM5,1),0)))</f>
        <v/>
      </c>
      <c r="M5" s="55" t="str">
        <f t="shared" si="1"/>
        <v/>
      </c>
      <c r="N5" s="56">
        <f t="shared" si="3"/>
        <v>0</v>
      </c>
      <c r="O5" s="51"/>
      <c r="P5" s="51"/>
      <c r="Q5" s="51"/>
      <c r="R5" s="51"/>
      <c r="S5" s="51"/>
      <c r="T5" s="51"/>
      <c r="U5" s="51"/>
      <c r="V5" s="51"/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 t="s">
        <v>114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 t="shared" si="1"/>
        <v/>
      </c>
      <c r="N6" s="56">
        <f t="shared" si="3"/>
        <v>6</v>
      </c>
      <c r="O6" s="51">
        <v>6</v>
      </c>
      <c r="P6" s="51"/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115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10</v>
      </c>
      <c r="O7" s="51">
        <v>10</v>
      </c>
      <c r="P7" s="51"/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122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3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122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116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 t="s">
        <v>117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118</v>
      </c>
      <c r="G12" s="75">
        <v>41386</v>
      </c>
      <c r="H12" s="75">
        <v>41393</v>
      </c>
      <c r="I12" s="76">
        <v>4</v>
      </c>
      <c r="J12" s="76">
        <v>1</v>
      </c>
      <c r="K12" s="77">
        <v>3</v>
      </c>
      <c r="L12" s="78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79">
        <f t="shared" si="3"/>
        <v>0</v>
      </c>
      <c r="O12" s="80"/>
      <c r="P12" s="80"/>
      <c r="Q12" s="80"/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122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125</v>
      </c>
      <c r="D38" s="68" t="s">
        <v>126</v>
      </c>
      <c r="E38" s="68"/>
      <c r="F38" s="17" t="s">
        <v>133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</v>
      </c>
      <c r="O38" s="51">
        <v>1</v>
      </c>
      <c r="P38" s="51" t="s">
        <v>124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125</v>
      </c>
      <c r="D39" s="68" t="s">
        <v>127</v>
      </c>
      <c r="E39" s="4"/>
      <c r="F39" s="17"/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0.25</v>
      </c>
      <c r="O39" s="51"/>
      <c r="P39" s="51">
        <v>0.25</v>
      </c>
      <c r="Q39" s="51" t="s">
        <v>124</v>
      </c>
      <c r="R39" s="51" t="str">
        <f t="shared" ref="R39:R40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125</v>
      </c>
      <c r="D40" s="68" t="s">
        <v>128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 t="str">
        <f t="array" ref="L40">IF(ISNA(INDEX($O$2:$DA$2,1,MATCH(1,IF($O40:$DM40,1),0))),"",INDEX($O$2:$DA$2,1,MATCH(1,IF($O40:$DM40,1),0)))</f>
        <v/>
      </c>
      <c r="M40" s="55" t="str">
        <f t="shared" si="1"/>
        <v/>
      </c>
      <c r="N40" s="56">
        <f t="shared" ref="N40:N49" si="18">SUM(O40:CG40)</f>
        <v>0</v>
      </c>
      <c r="O40" s="51"/>
      <c r="P40" s="51" t="str">
        <f t="shared" ref="P40" si="19">IF(ISNUMBER(O40)," ",IF(O40="X","X"," "))</f>
        <v xml:space="preserve"> </v>
      </c>
      <c r="Q40" s="51" t="str">
        <f t="shared" ref="Q40" si="20">IF(ISNUMBER(P40)," ",IF(P40="X","X"," "))</f>
        <v xml:space="preserve"> </v>
      </c>
      <c r="R40" s="51" t="str">
        <f t="shared" si="17"/>
        <v xml:space="preserve"> </v>
      </c>
      <c r="S40" s="51" t="str">
        <f t="shared" ref="S40:S49" si="21">IF(ISNUMBER(R40)," ",IF(R40="X","X"," "))</f>
        <v xml:space="preserve"> </v>
      </c>
      <c r="T40" s="51" t="str">
        <f t="shared" ref="T40:T49" si="22">IF(ISNUMBER(S40)," ",IF(S40="X","X"," "))</f>
        <v xml:space="preserve"> </v>
      </c>
      <c r="U40" s="51" t="str">
        <f t="shared" ref="U40:U49" si="23">IF(ISNUMBER(T40)," ",IF(T40="X","X"," "))</f>
        <v xml:space="preserve"> </v>
      </c>
      <c r="V40" s="51" t="str">
        <f t="shared" ref="V40:V49" si="24">IF(ISNUMBER(U40)," ",IF(U40="X","X"," "))</f>
        <v xml:space="preserve"> </v>
      </c>
      <c r="W40" s="51" t="str">
        <f>IF(ISNUMBER(V40)," ",IF(V40="X","X"," "))</f>
        <v xml:space="preserve"> 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125</v>
      </c>
      <c r="D41" s="68" t="s">
        <v>129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1"/>
        <v/>
      </c>
      <c r="N41" s="56">
        <f t="shared" si="18"/>
        <v>0</v>
      </c>
      <c r="O41" s="51"/>
      <c r="P41" s="51" t="str">
        <f t="shared" ref="P41:P49" si="25">IF(ISNUMBER(O41)," ",IF(O41="X","X"," "))</f>
        <v xml:space="preserve"> </v>
      </c>
      <c r="Q41" s="51" t="str">
        <f t="shared" ref="Q41:Q49" si="26">IF(ISNUMBER(P41)," ",IF(P41="X","X"," "))</f>
        <v xml:space="preserve"> </v>
      </c>
      <c r="R41" s="51" t="str">
        <f t="shared" ref="R41:R49" si="27">IF(ISNUMBER(Q41)," ",IF(Q41="X","X"," "))</f>
        <v xml:space="preserve"> </v>
      </c>
      <c r="S41" s="51" t="str">
        <f t="shared" si="21"/>
        <v xml:space="preserve"> </v>
      </c>
      <c r="T41" s="51" t="str">
        <f t="shared" si="22"/>
        <v xml:space="preserve"> </v>
      </c>
      <c r="U41" s="51" t="str">
        <f t="shared" si="23"/>
        <v xml:space="preserve"> </v>
      </c>
      <c r="V41" s="51" t="str">
        <f t="shared" si="24"/>
        <v xml:space="preserve"> </v>
      </c>
      <c r="W41" s="51" t="str">
        <f t="shared" ref="W41:W49" si="28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125</v>
      </c>
      <c r="D42" s="68" t="s">
        <v>130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5"/>
        <v xml:space="preserve"> </v>
      </c>
      <c r="Q42" s="51" t="str">
        <f t="shared" si="26"/>
        <v xml:space="preserve"> </v>
      </c>
      <c r="R42" s="51" t="str">
        <f t="shared" si="27"/>
        <v xml:space="preserve"> </v>
      </c>
      <c r="S42" s="51" t="str">
        <f t="shared" si="21"/>
        <v xml:space="preserve"> </v>
      </c>
      <c r="T42" s="51" t="str">
        <f t="shared" si="22"/>
        <v xml:space="preserve"> </v>
      </c>
      <c r="U42" s="51" t="str">
        <f t="shared" si="23"/>
        <v xml:space="preserve"> </v>
      </c>
      <c r="V42" s="51" t="str">
        <f t="shared" si="24"/>
        <v xml:space="preserve"> </v>
      </c>
      <c r="W42" s="51" t="str">
        <f t="shared" si="28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125</v>
      </c>
      <c r="D43" s="68" t="s">
        <v>131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5"/>
        <v xml:space="preserve"> </v>
      </c>
      <c r="Q43" s="51" t="str">
        <f t="shared" si="26"/>
        <v xml:space="preserve"> </v>
      </c>
      <c r="R43" s="51" t="str">
        <f t="shared" si="27"/>
        <v xml:space="preserve"> </v>
      </c>
      <c r="S43" s="51" t="str">
        <f t="shared" si="21"/>
        <v xml:space="preserve"> </v>
      </c>
      <c r="T43" s="51" t="str">
        <f t="shared" si="22"/>
        <v xml:space="preserve"> </v>
      </c>
      <c r="U43" s="51" t="str">
        <f t="shared" si="23"/>
        <v xml:space="preserve"> </v>
      </c>
      <c r="V43" s="51" t="str">
        <f t="shared" si="24"/>
        <v xml:space="preserve"> </v>
      </c>
      <c r="W43" s="51" t="str">
        <f t="shared" si="28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125</v>
      </c>
      <c r="D44" s="68" t="s">
        <v>132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5"/>
        <v xml:space="preserve"> </v>
      </c>
      <c r="Q44" s="51" t="str">
        <f t="shared" si="26"/>
        <v xml:space="preserve"> </v>
      </c>
      <c r="R44" s="51" t="str">
        <f t="shared" si="27"/>
        <v xml:space="preserve"> </v>
      </c>
      <c r="S44" s="51" t="str">
        <f t="shared" si="21"/>
        <v xml:space="preserve"> </v>
      </c>
      <c r="T44" s="51" t="str">
        <f t="shared" si="22"/>
        <v xml:space="preserve"> </v>
      </c>
      <c r="U44" s="51" t="str">
        <f t="shared" si="23"/>
        <v xml:space="preserve"> </v>
      </c>
      <c r="V44" s="51" t="str">
        <f t="shared" si="24"/>
        <v xml:space="preserve"> </v>
      </c>
      <c r="W44" s="51" t="str">
        <f t="shared" si="28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125</v>
      </c>
      <c r="D45" s="68" t="s">
        <v>134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5"/>
        <v xml:space="preserve"> </v>
      </c>
      <c r="Q45" s="51" t="str">
        <f t="shared" si="26"/>
        <v xml:space="preserve"> </v>
      </c>
      <c r="R45" s="51" t="str">
        <f t="shared" si="27"/>
        <v xml:space="preserve"> </v>
      </c>
      <c r="S45" s="51" t="str">
        <f t="shared" si="21"/>
        <v xml:space="preserve"> </v>
      </c>
      <c r="T45" s="51" t="str">
        <f t="shared" si="22"/>
        <v xml:space="preserve"> </v>
      </c>
      <c r="U45" s="51" t="str">
        <f t="shared" si="23"/>
        <v xml:space="preserve"> </v>
      </c>
      <c r="V45" s="51" t="str">
        <f t="shared" si="24"/>
        <v xml:space="preserve"> </v>
      </c>
      <c r="W45" s="51" t="str">
        <f t="shared" si="28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5"/>
        <v xml:space="preserve"> </v>
      </c>
      <c r="Q46" s="51" t="str">
        <f t="shared" si="26"/>
        <v xml:space="preserve"> </v>
      </c>
      <c r="R46" s="51" t="str">
        <f t="shared" si="27"/>
        <v xml:space="preserve"> </v>
      </c>
      <c r="S46" s="51" t="str">
        <f t="shared" si="21"/>
        <v xml:space="preserve"> </v>
      </c>
      <c r="T46" s="51" t="str">
        <f t="shared" si="22"/>
        <v xml:space="preserve"> </v>
      </c>
      <c r="U46" s="51" t="str">
        <f t="shared" si="23"/>
        <v xml:space="preserve"> </v>
      </c>
      <c r="V46" s="51" t="str">
        <f t="shared" si="24"/>
        <v xml:space="preserve"> </v>
      </c>
      <c r="W46" s="51" t="str">
        <f t="shared" si="28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5"/>
        <v xml:space="preserve"> </v>
      </c>
      <c r="Q47" s="51" t="str">
        <f t="shared" si="26"/>
        <v xml:space="preserve"> </v>
      </c>
      <c r="R47" s="51" t="str">
        <f t="shared" si="27"/>
        <v xml:space="preserve"> </v>
      </c>
      <c r="S47" s="51" t="str">
        <f t="shared" si="21"/>
        <v xml:space="preserve"> </v>
      </c>
      <c r="T47" s="51" t="str">
        <f t="shared" si="22"/>
        <v xml:space="preserve"> </v>
      </c>
      <c r="U47" s="51" t="str">
        <f t="shared" si="23"/>
        <v xml:space="preserve"> </v>
      </c>
      <c r="V47" s="51" t="str">
        <f t="shared" si="24"/>
        <v xml:space="preserve"> </v>
      </c>
      <c r="W47" s="51" t="str">
        <f t="shared" si="28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5"/>
        <v xml:space="preserve"> </v>
      </c>
      <c r="Q48" s="51" t="str">
        <f t="shared" si="26"/>
        <v xml:space="preserve"> </v>
      </c>
      <c r="R48" s="51" t="str">
        <f t="shared" si="27"/>
        <v xml:space="preserve"> </v>
      </c>
      <c r="S48" s="51" t="str">
        <f t="shared" si="21"/>
        <v xml:space="preserve"> </v>
      </c>
      <c r="T48" s="51" t="str">
        <f t="shared" si="22"/>
        <v xml:space="preserve"> </v>
      </c>
      <c r="U48" s="51" t="str">
        <f t="shared" si="23"/>
        <v xml:space="preserve"> </v>
      </c>
      <c r="V48" s="51" t="str">
        <f t="shared" si="24"/>
        <v xml:space="preserve"> </v>
      </c>
      <c r="W48" s="51" t="str">
        <f t="shared" si="28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x14ac:dyDescent="0.2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5"/>
        <v xml:space="preserve"> </v>
      </c>
      <c r="Q49" s="51" t="str">
        <f t="shared" si="26"/>
        <v xml:space="preserve"> </v>
      </c>
      <c r="R49" s="51" t="str">
        <f t="shared" si="27"/>
        <v xml:space="preserve"> </v>
      </c>
      <c r="S49" s="51" t="str">
        <f t="shared" si="21"/>
        <v xml:space="preserve"> </v>
      </c>
      <c r="T49" s="51" t="str">
        <f t="shared" si="22"/>
        <v xml:space="preserve"> </v>
      </c>
      <c r="U49" s="51" t="str">
        <f t="shared" si="23"/>
        <v xml:space="preserve"> </v>
      </c>
      <c r="V49" s="51" t="str">
        <f t="shared" si="24"/>
        <v xml:space="preserve"> </v>
      </c>
      <c r="W49" s="51" t="str">
        <f t="shared" si="28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9">SUM(O3:O39)</f>
        <v>32.75</v>
      </c>
      <c r="P50" s="56">
        <f t="shared" si="29"/>
        <v>0.25</v>
      </c>
      <c r="Q50" s="56">
        <f t="shared" si="29"/>
        <v>0</v>
      </c>
      <c r="R50" s="56">
        <f t="shared" si="29"/>
        <v>0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33.09375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7.25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30">IF(OR(ISBLANK(O2),O2=$X$2),"",O2)</f>
        <v>41372</v>
      </c>
      <c r="O52" s="27">
        <f t="shared" si="30"/>
        <v>41379</v>
      </c>
      <c r="P52" s="27">
        <f t="shared" si="30"/>
        <v>41386</v>
      </c>
      <c r="Q52" s="27">
        <f t="shared" si="30"/>
        <v>41393</v>
      </c>
      <c r="R52" s="27">
        <f t="shared" si="30"/>
        <v>41400</v>
      </c>
      <c r="S52" s="27">
        <f t="shared" si="30"/>
        <v>41407</v>
      </c>
      <c r="T52" s="27">
        <f t="shared" si="30"/>
        <v>41414</v>
      </c>
      <c r="U52" s="27">
        <f t="shared" si="30"/>
        <v>41421</v>
      </c>
      <c r="V52" s="27">
        <f t="shared" si="30"/>
        <v>41428</v>
      </c>
      <c r="W52" s="27" t="str">
        <f t="shared" si="30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264.75</v>
      </c>
      <c r="L53" s="31"/>
      <c r="M53" s="32"/>
      <c r="N53" s="67">
        <v>296</v>
      </c>
      <c r="O53" s="50">
        <f t="shared" ref="O53:R53" si="31">IF(O52="","",N53)</f>
        <v>296</v>
      </c>
      <c r="P53" s="50">
        <f t="shared" si="31"/>
        <v>296</v>
      </c>
      <c r="Q53" s="50">
        <f t="shared" si="31"/>
        <v>296</v>
      </c>
      <c r="R53" s="50">
        <f t="shared" si="31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/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 x14ac:dyDescent="0.2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36</v>
      </c>
      <c r="Q54" s="34">
        <f t="array" ref="Q54">IF(Q52="","",P54+IF(ISNA(VLOOKUP(R2,$H$2:$H$39,2,FALSE)),0,SUM(IF($H$2:$K$39=R2,$K$2:$K$39))))</f>
        <v>85.75</v>
      </c>
      <c r="R54" s="34">
        <f t="array" ref="R54">IF(R52="","",Q54+IF(ISNA(VLOOKUP(S2,$H$2:$H$39,2,FALSE)),0,SUM(IF($H$2:$K$39=S2,$K$2:$K$39))))</f>
        <v>85.75</v>
      </c>
      <c r="S54" s="34">
        <f t="array" ref="S54">IF(S52="","",R54+IF(ISNA(VLOOKUP(T2,$H$2:$H$39,2,FALSE)),0,SUM(IF($H$2:$K$39=T2,$K$2:$K$39))))</f>
        <v>145.75</v>
      </c>
      <c r="T54" s="34">
        <f t="array" ref="T54">IF(T52="","",S54+IF(ISNA(VLOOKUP(U2,$H$2:$H$39,2,FALSE)),0,SUM(IF($H$2:$K$39=U2,$K$2:$K$39))))</f>
        <v>193.75</v>
      </c>
      <c r="U54" s="34">
        <f t="array" ref="U54">IF(U52="","",T54+IF(ISNA(VLOOKUP(V2,$H$2:$H$39,2,FALSE)),0,SUM(IF($H$2:$K$39=V2,$K$2:$K$39))))</f>
        <v>230.75</v>
      </c>
      <c r="V54" s="34"/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 x14ac:dyDescent="0.2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31</v>
      </c>
      <c r="P55" s="6">
        <f>SUMIFS($K$3:$K$39,Q3:Q39,"=X")</f>
        <v>36</v>
      </c>
      <c r="Q55" s="6">
        <f>SUMIFS($K$3:$K$39,R3:R39,"=X")</f>
        <v>36</v>
      </c>
      <c r="R55" s="6">
        <f>SUMIFS($K$3:$K$39,S3:S39,"=X")</f>
        <v>36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 x14ac:dyDescent="0.2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33</v>
      </c>
      <c r="Q56" s="6">
        <f>SUM(Q3:Q39)+P56</f>
        <v>33</v>
      </c>
      <c r="R56" s="6">
        <f>SUM(R3:R39)+Q56</f>
        <v>33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7.25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2">O2</f>
        <v>41372</v>
      </c>
      <c r="P59" s="39">
        <f t="shared" si="32"/>
        <v>41379</v>
      </c>
      <c r="Q59" s="39">
        <f t="shared" si="32"/>
        <v>41386</v>
      </c>
      <c r="R59" s="39">
        <f t="shared" si="32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33</v>
      </c>
      <c r="O60" s="37">
        <f t="shared" ref="O60:R61" si="33">SUMIF($F$3:$F$39,$M60,O$3:O$39)</f>
        <v>0</v>
      </c>
      <c r="P60" s="37">
        <f t="shared" si="33"/>
        <v>0</v>
      </c>
      <c r="Q60" s="37">
        <f t="shared" si="33"/>
        <v>0</v>
      </c>
      <c r="R60" s="37">
        <f t="shared" si="33"/>
        <v>0</v>
      </c>
      <c r="S60" s="37">
        <f t="shared" ref="S60:W61" si="34">SUMIF($F$3:$F$39,$M60,S$3:S$39)</f>
        <v>0</v>
      </c>
      <c r="T60" s="37">
        <f t="shared" si="34"/>
        <v>0</v>
      </c>
      <c r="U60" s="37">
        <f t="shared" si="34"/>
        <v>0</v>
      </c>
      <c r="V60" s="37">
        <f t="shared" si="34"/>
        <v>0</v>
      </c>
      <c r="W60" s="37">
        <f t="shared" si="34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3"/>
        <v>0</v>
      </c>
      <c r="P61" s="37">
        <f t="shared" si="33"/>
        <v>0</v>
      </c>
      <c r="Q61" s="37">
        <f t="shared" si="33"/>
        <v>0</v>
      </c>
      <c r="R61" s="37">
        <f t="shared" si="33"/>
        <v>0</v>
      </c>
      <c r="S61" s="37">
        <f t="shared" si="34"/>
        <v>0</v>
      </c>
      <c r="T61" s="37">
        <f t="shared" si="34"/>
        <v>0</v>
      </c>
      <c r="U61" s="37">
        <f t="shared" si="34"/>
        <v>0</v>
      </c>
      <c r="V61" s="37">
        <f t="shared" si="34"/>
        <v>0</v>
      </c>
      <c r="W61" s="37">
        <f t="shared" si="34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131.75</v>
      </c>
      <c r="O66" s="37">
        <f t="shared" ref="O66:R67" si="35">SUMIF($F$3:$F$39,$M66,O$3:O$39)</f>
        <v>0</v>
      </c>
      <c r="P66" s="37">
        <f t="shared" si="35"/>
        <v>0</v>
      </c>
      <c r="Q66" s="37">
        <f t="shared" si="35"/>
        <v>0</v>
      </c>
      <c r="R66" s="37">
        <f t="shared" si="35"/>
        <v>0</v>
      </c>
      <c r="S66" s="37">
        <f t="shared" ref="S66:V67" si="36">SUMIF($F$3:$F$39,$M66,S$3:S$39)</f>
        <v>0</v>
      </c>
      <c r="T66" s="37">
        <f t="shared" si="36"/>
        <v>0</v>
      </c>
      <c r="U66" s="37">
        <f t="shared" si="36"/>
        <v>0</v>
      </c>
      <c r="V66" s="37">
        <f t="shared" si="36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5"/>
        <v>0</v>
      </c>
      <c r="P67" s="37">
        <f t="shared" si="35"/>
        <v>0</v>
      </c>
      <c r="Q67" s="37">
        <f t="shared" si="35"/>
        <v>0</v>
      </c>
      <c r="R67" s="37">
        <f t="shared" si="35"/>
        <v>0</v>
      </c>
      <c r="S67" s="37">
        <f t="shared" si="36"/>
        <v>0</v>
      </c>
      <c r="T67" s="37">
        <f t="shared" si="36"/>
        <v>0</v>
      </c>
      <c r="U67" s="37">
        <f t="shared" si="36"/>
        <v>0</v>
      </c>
      <c r="V67" s="37">
        <f t="shared" si="36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164.75</v>
      </c>
      <c r="O68" s="48">
        <f t="shared" ref="O68:R68" si="37">SUM(O60:O67)</f>
        <v>0</v>
      </c>
      <c r="P68" s="48">
        <f t="shared" si="37"/>
        <v>0</v>
      </c>
      <c r="Q68" s="48">
        <f t="shared" si="37"/>
        <v>0</v>
      </c>
      <c r="R68" s="48">
        <f t="shared" si="37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4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55:W55">
    <cfRule type="cellIs" dxfId="1" priority="22" operator="greaterThan">
      <formula>0</formula>
    </cfRule>
  </conditionalFormatting>
  <conditionalFormatting sqref="O56:W56">
    <cfRule type="cellIs" dxfId="0" priority="21" operator="greaterThan">
      <formula>0</formula>
    </cfRule>
  </conditionalFormatting>
  <conditionalFormatting sqref="G3:H49">
    <cfRule type="expression" dxfId="12" priority="11">
      <formula>FormulaInCell</formula>
    </cfRule>
  </conditionalFormatting>
  <conditionalFormatting sqref="O3:W49">
    <cfRule type="cellIs" dxfId="11" priority="18" operator="equal">
      <formula>"X"</formula>
    </cfRule>
    <cfRule type="cellIs" dxfId="10" priority="19" operator="greaterThan">
      <formula>0</formula>
    </cfRule>
    <cfRule type="expression" dxfId="9" priority="20">
      <formula>AND(O$2&gt;=$G3,O$2&lt;$H3,ISNUMBER(O3))</formula>
    </cfRule>
    <cfRule type="expression" dxfId="8" priority="23">
      <formula>AND(O$2&gt;=$G3,O$2&lt;$H3)</formula>
    </cfRule>
    <cfRule type="expression" dxfId="7" priority="24">
      <formula>AND(ISNUMBER(O3))</formula>
    </cfRule>
  </conditionalFormatting>
  <conditionalFormatting sqref="O59:W59 O2:W2">
    <cfRule type="expression" dxfId="6" priority="6">
      <formula>O2&gt;MAX($H$3:$H$39)</formula>
    </cfRule>
  </conditionalFormatting>
  <conditionalFormatting sqref="N52:W52">
    <cfRule type="expression" dxfId="5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4" priority="2" operator="lessThan">
      <formula>$K$51</formula>
    </cfRule>
    <cfRule type="cellIs" dxfId="3" priority="3" operator="greaterThan">
      <formula>$K$51</formula>
    </cfRule>
  </conditionalFormatting>
  <conditionalFormatting sqref="O53:W53">
    <cfRule type="expression" dxfId="2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2013-04-20T10:20:17Z</dcterms:modified>
</cp:coreProperties>
</file>