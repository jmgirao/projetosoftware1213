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ão\Documents\Aulas\Mestrado\Projeto Software\Docs\Project Management\"/>
    </mc:Choice>
  </mc:AlternateContent>
  <bookViews>
    <workbookView xWindow="0" yWindow="0" windowWidth="15348" windowHeight="4632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O51" i="2" l="1"/>
  <c r="M5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7" i="2" l="1"/>
  <c r="Q3" i="2"/>
  <c r="N4" i="2"/>
  <c r="N5" i="2"/>
  <c r="N6" i="2"/>
  <c r="N8" i="2"/>
  <c r="N9" i="2"/>
  <c r="N10" i="2"/>
  <c r="N11" i="2"/>
  <c r="L5" i="2" a="1"/>
  <c r="L5" i="2" s="1"/>
  <c r="L8" i="2" a="1"/>
  <c r="L8" i="2" s="1"/>
  <c r="L9" i="2" a="1"/>
  <c r="L9" i="2" s="1"/>
  <c r="L10" i="2" a="1"/>
  <c r="L10" i="2" s="1"/>
  <c r="L11" i="2" a="1"/>
  <c r="L11" i="2" s="1"/>
  <c r="R3" i="2" l="1"/>
  <c r="S3" i="2" s="1"/>
  <c r="O46" i="2"/>
  <c r="W42" i="2"/>
  <c r="O4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G39" i="2"/>
  <c r="O2" i="2"/>
  <c r="H39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57" i="2"/>
  <c r="P57" i="2"/>
  <c r="Q57" i="2"/>
  <c r="R57" i="2"/>
  <c r="S57" i="2"/>
  <c r="T57" i="2"/>
  <c r="U57" i="2"/>
  <c r="V57" i="2"/>
  <c r="W57" i="2"/>
  <c r="P39" i="2"/>
  <c r="Q32" i="2" l="1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L36" i="2" a="1"/>
  <c r="L36" i="2" s="1"/>
  <c r="S31" i="2"/>
  <c r="T31" i="2" s="1"/>
  <c r="U31" i="2" s="1"/>
  <c r="V31" i="2" s="1"/>
  <c r="W31" i="2" s="1"/>
  <c r="L31" i="2" a="1"/>
  <c r="L31" i="2" s="1"/>
  <c r="M31" i="2"/>
  <c r="Q35" i="2"/>
  <c r="R35" i="2" s="1"/>
  <c r="S35" i="2" s="1"/>
  <c r="T35" i="2" s="1"/>
  <c r="U35" i="2" s="1"/>
  <c r="V35" i="2" s="1"/>
  <c r="W35" i="2" s="1"/>
  <c r="L35" i="2" a="1"/>
  <c r="L35" i="2" s="1"/>
  <c r="M35" i="2"/>
  <c r="L7" i="2" a="1"/>
  <c r="L7" i="2" s="1"/>
  <c r="M4" i="2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M33" i="2"/>
  <c r="Q34" i="2"/>
  <c r="R34" i="2" s="1"/>
  <c r="S34" i="2" s="1"/>
  <c r="T34" i="2" s="1"/>
  <c r="U34" i="2" s="1"/>
  <c r="V34" i="2" s="1"/>
  <c r="W34" i="2" s="1"/>
  <c r="L34" i="2" a="1"/>
  <c r="L34" i="2" s="1"/>
  <c r="N42" i="2"/>
  <c r="T14" i="2"/>
  <c r="T3" i="2"/>
  <c r="W12" i="2"/>
  <c r="M12" i="2" s="1"/>
  <c r="W37" i="2"/>
  <c r="M37" i="2" s="1"/>
  <c r="W13" i="2"/>
  <c r="M13" i="2" s="1"/>
  <c r="N57" i="2"/>
  <c r="Q39" i="2"/>
  <c r="R39" i="2" s="1"/>
  <c r="K43" i="2"/>
  <c r="L32" i="2" l="1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N39" i="2" s="1"/>
  <c r="U14" i="2"/>
  <c r="U3" i="2"/>
  <c r="M39" i="2" l="1"/>
  <c r="L39" i="2" a="1"/>
  <c r="L39" i="2" s="1"/>
  <c r="V14" i="2"/>
  <c r="V3" i="2"/>
  <c r="N3" i="2" l="1"/>
  <c r="W14" i="2"/>
  <c r="M14" i="2" s="1"/>
  <c r="W3" i="2"/>
  <c r="O50" i="2"/>
  <c r="O56" i="2"/>
  <c r="P38" i="2"/>
  <c r="P40" i="2" s="1"/>
  <c r="O45" i="2" l="1"/>
  <c r="P46" i="2"/>
  <c r="Q38" i="2"/>
  <c r="Q56" i="2"/>
  <c r="P50" i="2"/>
  <c r="O58" i="2"/>
  <c r="N13" i="2"/>
  <c r="N35" i="2"/>
  <c r="N33" i="2"/>
  <c r="N32" i="2"/>
  <c r="N15" i="2"/>
  <c r="P51" i="2"/>
  <c r="P56" i="2"/>
  <c r="P45" i="2" l="1"/>
  <c r="Q40" i="2"/>
  <c r="Q46" i="2"/>
  <c r="Q50" i="2"/>
  <c r="R38" i="2"/>
  <c r="P58" i="2"/>
  <c r="R56" i="2"/>
  <c r="N34" i="2"/>
  <c r="N37" i="2"/>
  <c r="Q51" i="2"/>
  <c r="R50" i="2"/>
  <c r="N16" i="2"/>
  <c r="N36" i="2"/>
  <c r="Q58" i="2" l="1"/>
  <c r="Q45" i="2"/>
  <c r="R40" i="2"/>
  <c r="R46" i="2"/>
  <c r="S38" i="2"/>
  <c r="S50" i="2" s="1"/>
  <c r="S56" i="2"/>
  <c r="R51" i="2"/>
  <c r="R58" i="2" s="1"/>
  <c r="R45" i="2" l="1"/>
  <c r="S40" i="2"/>
  <c r="T38" i="2"/>
  <c r="T40" i="2" s="1"/>
  <c r="S51" i="2"/>
  <c r="S58" i="2" s="1"/>
  <c r="T56" i="2"/>
  <c r="T50" i="2" l="1"/>
  <c r="U38" i="2"/>
  <c r="U40" i="2" s="1"/>
  <c r="U50" i="2"/>
  <c r="U56" i="2"/>
  <c r="T51" i="2"/>
  <c r="T58" i="2" l="1"/>
  <c r="V38" i="2"/>
  <c r="V56" i="2"/>
  <c r="U51" i="2"/>
  <c r="U58" i="2" s="1"/>
  <c r="V40" i="2" l="1"/>
  <c r="V50" i="2"/>
  <c r="W38" i="2"/>
  <c r="W40" i="2" s="1"/>
  <c r="N14" i="2"/>
  <c r="V51" i="2"/>
  <c r="L38" i="2" l="1" a="1"/>
  <c r="L38" i="2" s="1"/>
  <c r="M38" i="2"/>
  <c r="V58" i="2"/>
  <c r="W50" i="2"/>
  <c r="N38" i="2"/>
  <c r="W51" i="2"/>
  <c r="W58" i="2" l="1"/>
  <c r="N56" i="2"/>
  <c r="N31" i="2"/>
  <c r="N50" i="2" l="1"/>
  <c r="N51" i="2"/>
  <c r="N12" i="2"/>
  <c r="N58" i="2" l="1"/>
  <c r="P2" i="2" l="1"/>
  <c r="L12" i="2" a="1"/>
  <c r="L12" i="2" s="1"/>
  <c r="M3" i="2"/>
  <c r="O49" i="2"/>
  <c r="L3" i="2" a="1"/>
  <c r="L3" i="2" s="1"/>
  <c r="O42" i="2" l="1"/>
  <c r="O43" i="2" s="1"/>
  <c r="L13" i="2" a="1"/>
  <c r="L13" i="2" s="1"/>
  <c r="Q2" i="2"/>
  <c r="P49" i="2"/>
  <c r="P42" i="2" l="1"/>
  <c r="P43" i="2" s="1"/>
  <c r="L16" i="2" a="1"/>
  <c r="L16" i="2" s="1"/>
  <c r="L14" i="2" a="1"/>
  <c r="L14" i="2" s="1"/>
  <c r="Q49" i="2"/>
  <c r="R2" i="2"/>
  <c r="Q42" i="2" s="1"/>
  <c r="Q43" i="2" l="1"/>
  <c r="M63" i="2"/>
  <c r="S2" i="2"/>
  <c r="R49" i="2"/>
  <c r="R42" i="2" l="1"/>
  <c r="R43" i="2" s="1"/>
  <c r="T2" i="2"/>
  <c r="S49" i="2"/>
  <c r="S42" i="2" l="1"/>
  <c r="S43" i="2" s="1"/>
  <c r="T49" i="2"/>
  <c r="U2" i="2"/>
  <c r="T42" i="2" l="1"/>
  <c r="T43" i="2" s="1"/>
  <c r="V2" i="2"/>
  <c r="L15" i="2" a="1"/>
  <c r="L15" i="2" s="1"/>
  <c r="U49" i="2"/>
  <c r="W2" i="2" l="1"/>
  <c r="J40" i="2" s="1"/>
  <c r="U42" i="2"/>
  <c r="U43" i="2" s="1"/>
  <c r="V49" i="2"/>
  <c r="V42" i="2" l="1"/>
  <c r="K41" i="2"/>
  <c r="G38" i="2" l="1"/>
  <c r="H38" i="2" s="1"/>
  <c r="J43" i="2" l="1"/>
  <c r="N44" i="2"/>
  <c r="O44" i="2" s="1" a="1"/>
  <c r="O44" i="2" s="1"/>
  <c r="P44" i="2" s="1" a="1"/>
  <c r="P44" i="2" s="1"/>
  <c r="Q44" i="2" s="1" a="1"/>
  <c r="Q44" i="2" s="1"/>
  <c r="R44" i="2" s="1" a="1"/>
  <c r="R44" i="2" s="1"/>
  <c r="S44" i="2" s="1" a="1"/>
  <c r="S44" i="2" s="1"/>
  <c r="T44" i="2" s="1" a="1"/>
  <c r="T44" i="2" s="1"/>
  <c r="U44" i="2" s="1" a="1"/>
  <c r="U44" i="2" s="1"/>
</calcChain>
</file>

<file path=xl/comments1.xml><?xml version="1.0" encoding="utf-8"?>
<comments xmlns="http://schemas.openxmlformats.org/spreadsheetml/2006/main">
  <authors>
    <author>João Cunha</author>
  </authors>
  <commentList>
    <comment ref="J4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4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<sst xmlns="http://schemas.openxmlformats.org/spreadsheetml/2006/main" count="222" uniqueCount="125">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</sst>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Tracking'!$C$43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Tracking'!$N$43:$W$43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Tracking'!$C$44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Tracking'!$N$44:$W$44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26</c:v>
                </c:pt>
                <c:pt idx="3">
                  <c:v>75.75</c:v>
                </c:pt>
                <c:pt idx="4">
                  <c:v>135.75</c:v>
                </c:pt>
                <c:pt idx="5">
                  <c:v>183.75</c:v>
                </c:pt>
                <c:pt idx="6">
                  <c:v>220.75</c:v>
                </c:pt>
                <c:pt idx="7">
                  <c:v>254.75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Tracking'!$C$45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Tracking'!$N$45:$W$45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Tracking'!$C$46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Tracking'!$N$46:$W$46</c:f>
              <c:numCache>
                <c:formatCode>General</c:formatCode>
                <c:ptCount val="10"/>
                <c:pt idx="0">
                  <c:v>0</c:v>
                </c:pt>
                <c:pt idx="1">
                  <c:v>31.75</c:v>
                </c:pt>
                <c:pt idx="2">
                  <c:v>31.75</c:v>
                </c:pt>
                <c:pt idx="3">
                  <c:v>31.75</c:v>
                </c:pt>
                <c:pt idx="4">
                  <c:v>31.75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047912"/>
        <c:axId val="254047128"/>
      </c:lineChart>
      <c:catAx>
        <c:axId val="254047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4047128"/>
        <c:crosses val="autoZero"/>
        <c:auto val="0"/>
        <c:lblAlgn val="ctr"/>
        <c:lblOffset val="100"/>
        <c:noMultiLvlLbl val="0"/>
      </c:catAx>
      <c:valAx>
        <c:axId val="2540471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4047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09375" defaultRowHeight="13.8" x14ac:dyDescent="0.3"/>
  <cols>
    <col min="1" max="1" width="3.88671875" style="2" customWidth="1"/>
    <col min="2" max="2" width="163.5546875" style="2" bestFit="1" customWidth="1"/>
    <col min="3" max="4" width="9.109375" style="2"/>
    <col min="5" max="8" width="10.109375" style="2" bestFit="1" customWidth="1"/>
    <col min="9" max="16384" width="9.109375" style="2"/>
  </cols>
  <sheetData>
    <row r="1" spans="2:2" ht="14.4" thickBot="1" x14ac:dyDescent="0.35"/>
    <row r="2" spans="2:2" ht="14.4" thickBot="1" x14ac:dyDescent="0.35">
      <c r="B2" s="9" t="s">
        <v>25</v>
      </c>
    </row>
    <row r="3" spans="2:2" x14ac:dyDescent="0.3">
      <c r="B3" s="14"/>
    </row>
    <row r="4" spans="2:2" x14ac:dyDescent="0.3">
      <c r="B4" s="15" t="s">
        <v>40</v>
      </c>
    </row>
    <row r="5" spans="2:2" x14ac:dyDescent="0.3">
      <c r="B5" s="7" t="s">
        <v>41</v>
      </c>
    </row>
    <row r="6" spans="2:2" x14ac:dyDescent="0.3">
      <c r="B6" s="7" t="s">
        <v>42</v>
      </c>
    </row>
    <row r="7" spans="2:2" x14ac:dyDescent="0.3">
      <c r="B7" s="7" t="s">
        <v>62</v>
      </c>
    </row>
    <row r="8" spans="2:2" x14ac:dyDescent="0.3">
      <c r="B8" s="7" t="s">
        <v>43</v>
      </c>
    </row>
    <row r="9" spans="2:2" x14ac:dyDescent="0.3">
      <c r="B9" s="7" t="s">
        <v>44</v>
      </c>
    </row>
    <row r="10" spans="2:2" x14ac:dyDescent="0.3">
      <c r="B10" s="7" t="s">
        <v>45</v>
      </c>
    </row>
    <row r="11" spans="2:2" x14ac:dyDescent="0.3">
      <c r="B11" s="7" t="s">
        <v>46</v>
      </c>
    </row>
    <row r="12" spans="2:2" x14ac:dyDescent="0.3">
      <c r="B12" s="7" t="s">
        <v>47</v>
      </c>
    </row>
    <row r="13" spans="2:2" x14ac:dyDescent="0.3">
      <c r="B13" s="7"/>
    </row>
    <row r="14" spans="2:2" x14ac:dyDescent="0.3">
      <c r="B14" s="15" t="s">
        <v>30</v>
      </c>
    </row>
    <row r="15" spans="2:2" x14ac:dyDescent="0.3">
      <c r="B15" s="7" t="s">
        <v>37</v>
      </c>
    </row>
    <row r="16" spans="2:2" x14ac:dyDescent="0.3">
      <c r="B16" s="7" t="s">
        <v>57</v>
      </c>
    </row>
    <row r="17" spans="2:2" x14ac:dyDescent="0.3">
      <c r="B17" s="7" t="s">
        <v>38</v>
      </c>
    </row>
    <row r="18" spans="2:2" x14ac:dyDescent="0.3">
      <c r="B18" s="7" t="s">
        <v>39</v>
      </c>
    </row>
    <row r="19" spans="2:2" x14ac:dyDescent="0.3">
      <c r="B19" s="7" t="s">
        <v>63</v>
      </c>
    </row>
    <row r="20" spans="2:2" x14ac:dyDescent="0.3">
      <c r="B20" s="7" t="s">
        <v>64</v>
      </c>
    </row>
    <row r="21" spans="2:2" x14ac:dyDescent="0.3">
      <c r="B21" s="7" t="s">
        <v>48</v>
      </c>
    </row>
    <row r="22" spans="2:2" x14ac:dyDescent="0.3">
      <c r="B22" s="7"/>
    </row>
    <row r="23" spans="2:2" x14ac:dyDescent="0.3">
      <c r="B23" s="67" t="s">
        <v>68</v>
      </c>
    </row>
    <row r="24" spans="2:2" x14ac:dyDescent="0.3">
      <c r="B24" s="7"/>
    </row>
    <row r="25" spans="2:2" x14ac:dyDescent="0.3">
      <c r="B25" s="15" t="s">
        <v>14</v>
      </c>
    </row>
    <row r="26" spans="2:2" x14ac:dyDescent="0.3">
      <c r="B26" s="7" t="s">
        <v>65</v>
      </c>
    </row>
    <row r="27" spans="2:2" x14ac:dyDescent="0.3">
      <c r="B27" s="7" t="s">
        <v>66</v>
      </c>
    </row>
    <row r="28" spans="2:2" x14ac:dyDescent="0.3">
      <c r="B28" s="7" t="s">
        <v>33</v>
      </c>
    </row>
    <row r="29" spans="2:2" x14ac:dyDescent="0.3">
      <c r="B29" s="7" t="s">
        <v>49</v>
      </c>
    </row>
    <row r="30" spans="2:2" x14ac:dyDescent="0.3">
      <c r="B30" s="7"/>
    </row>
    <row r="31" spans="2:2" x14ac:dyDescent="0.3">
      <c r="B31" s="15" t="s">
        <v>29</v>
      </c>
    </row>
    <row r="32" spans="2:2" x14ac:dyDescent="0.3">
      <c r="B32" s="7" t="s">
        <v>50</v>
      </c>
    </row>
    <row r="33" spans="2:2" x14ac:dyDescent="0.3">
      <c r="B33" s="7" t="s">
        <v>67</v>
      </c>
    </row>
    <row r="34" spans="2:2" x14ac:dyDescent="0.3">
      <c r="B34" s="7" t="s">
        <v>52</v>
      </c>
    </row>
    <row r="35" spans="2:2" x14ac:dyDescent="0.3">
      <c r="B35" s="7" t="s">
        <v>51</v>
      </c>
    </row>
    <row r="36" spans="2:2" x14ac:dyDescent="0.3">
      <c r="B36" s="7" t="s">
        <v>53</v>
      </c>
    </row>
    <row r="37" spans="2:2" x14ac:dyDescent="0.3">
      <c r="B37" s="7" t="s">
        <v>56</v>
      </c>
    </row>
    <row r="38" spans="2:2" x14ac:dyDescent="0.3">
      <c r="B38" s="7" t="s">
        <v>54</v>
      </c>
    </row>
    <row r="39" spans="2:2" ht="14.4" thickBot="1" x14ac:dyDescent="0.35">
      <c r="B39" s="8"/>
    </row>
    <row r="40" spans="2:2" ht="14.4" thickBot="1" x14ac:dyDescent="0.35"/>
    <row r="41" spans="2:2" x14ac:dyDescent="0.3">
      <c r="B41" s="9" t="s">
        <v>22</v>
      </c>
    </row>
    <row r="42" spans="2:2" x14ac:dyDescent="0.3">
      <c r="B42" s="10" t="s">
        <v>55</v>
      </c>
    </row>
    <row r="43" spans="2:2" x14ac:dyDescent="0.3">
      <c r="B43" s="11" t="s">
        <v>34</v>
      </c>
    </row>
    <row r="44" spans="2:2" x14ac:dyDescent="0.3">
      <c r="B44" s="12" t="s">
        <v>24</v>
      </c>
    </row>
    <row r="45" spans="2:2" x14ac:dyDescent="0.3">
      <c r="B45" s="11" t="s">
        <v>35</v>
      </c>
    </row>
    <row r="46" spans="2:2" x14ac:dyDescent="0.3">
      <c r="B46" s="11" t="s">
        <v>23</v>
      </c>
    </row>
    <row r="47" spans="2:2" ht="14.4" thickBot="1" x14ac:dyDescent="0.35">
      <c r="B47" s="13" t="s">
        <v>36</v>
      </c>
    </row>
    <row r="48" spans="2:2" x14ac:dyDescent="0.3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G7" sqref="G7"/>
    </sheetView>
  </sheetViews>
  <sheetFormatPr defaultRowHeight="13.8" x14ac:dyDescent="0.3"/>
  <cols>
    <col min="1" max="1" width="1.44140625" style="28" customWidth="1"/>
    <col min="2" max="2" width="4.44140625" style="28" customWidth="1"/>
    <col min="3" max="3" width="13" style="40" customWidth="1"/>
    <col min="4" max="4" width="24.88671875" style="40" customWidth="1"/>
    <col min="5" max="5" width="19.6640625" style="40" customWidth="1"/>
    <col min="6" max="6" width="12.5546875" style="40" customWidth="1"/>
    <col min="7" max="8" width="11.33203125" style="40" customWidth="1"/>
    <col min="9" max="11" width="8.6640625" style="40" customWidth="1"/>
    <col min="12" max="12" width="11.33203125" style="41" bestFit="1" customWidth="1"/>
    <col min="13" max="13" width="11.33203125" style="41" customWidth="1"/>
    <col min="14" max="14" width="8.6640625" style="41" customWidth="1"/>
    <col min="15" max="15" width="4.88671875" style="42" customWidth="1"/>
    <col min="16" max="23" width="4.88671875" style="28" customWidth="1"/>
    <col min="24" max="24" width="43.44140625" style="28" customWidth="1"/>
    <col min="25" max="33" width="2.88671875" style="28" customWidth="1"/>
    <col min="34" max="189" width="9.109375" style="28"/>
    <col min="190" max="190" width="40.6640625" style="28" customWidth="1"/>
    <col min="191" max="191" width="10.6640625" style="28" customWidth="1"/>
    <col min="192" max="201" width="12.6640625" style="28" customWidth="1"/>
    <col min="202" max="445" width="9.109375" style="28"/>
    <col min="446" max="446" width="40.6640625" style="28" customWidth="1"/>
    <col min="447" max="447" width="10.6640625" style="28" customWidth="1"/>
    <col min="448" max="457" width="12.6640625" style="28" customWidth="1"/>
    <col min="458" max="701" width="9.109375" style="28"/>
    <col min="702" max="702" width="40.6640625" style="28" customWidth="1"/>
    <col min="703" max="703" width="10.6640625" style="28" customWidth="1"/>
    <col min="704" max="713" width="12.6640625" style="28" customWidth="1"/>
    <col min="714" max="957" width="9.109375" style="28"/>
    <col min="958" max="958" width="40.6640625" style="28" customWidth="1"/>
    <col min="959" max="959" width="10.6640625" style="28" customWidth="1"/>
    <col min="960" max="969" width="12.6640625" style="28" customWidth="1"/>
    <col min="970" max="1213" width="9.109375" style="28"/>
    <col min="1214" max="1214" width="40.6640625" style="28" customWidth="1"/>
    <col min="1215" max="1215" width="10.6640625" style="28" customWidth="1"/>
    <col min="1216" max="1225" width="12.6640625" style="28" customWidth="1"/>
    <col min="1226" max="1469" width="9.109375" style="28"/>
    <col min="1470" max="1470" width="40.6640625" style="28" customWidth="1"/>
    <col min="1471" max="1471" width="10.6640625" style="28" customWidth="1"/>
    <col min="1472" max="1481" width="12.6640625" style="28" customWidth="1"/>
    <col min="1482" max="1725" width="9.109375" style="28"/>
    <col min="1726" max="1726" width="40.6640625" style="28" customWidth="1"/>
    <col min="1727" max="1727" width="10.6640625" style="28" customWidth="1"/>
    <col min="1728" max="1737" width="12.6640625" style="28" customWidth="1"/>
    <col min="1738" max="1981" width="9.109375" style="28"/>
    <col min="1982" max="1982" width="40.6640625" style="28" customWidth="1"/>
    <col min="1983" max="1983" width="10.6640625" style="28" customWidth="1"/>
    <col min="1984" max="1993" width="12.6640625" style="28" customWidth="1"/>
    <col min="1994" max="2237" width="9.109375" style="28"/>
    <col min="2238" max="2238" width="40.6640625" style="28" customWidth="1"/>
    <col min="2239" max="2239" width="10.6640625" style="28" customWidth="1"/>
    <col min="2240" max="2249" width="12.6640625" style="28" customWidth="1"/>
    <col min="2250" max="2493" width="9.109375" style="28"/>
    <col min="2494" max="2494" width="40.6640625" style="28" customWidth="1"/>
    <col min="2495" max="2495" width="10.6640625" style="28" customWidth="1"/>
    <col min="2496" max="2505" width="12.6640625" style="28" customWidth="1"/>
    <col min="2506" max="2749" width="9.109375" style="28"/>
    <col min="2750" max="2750" width="40.6640625" style="28" customWidth="1"/>
    <col min="2751" max="2751" width="10.6640625" style="28" customWidth="1"/>
    <col min="2752" max="2761" width="12.6640625" style="28" customWidth="1"/>
    <col min="2762" max="3005" width="9.109375" style="28"/>
    <col min="3006" max="3006" width="40.6640625" style="28" customWidth="1"/>
    <col min="3007" max="3007" width="10.6640625" style="28" customWidth="1"/>
    <col min="3008" max="3017" width="12.6640625" style="28" customWidth="1"/>
    <col min="3018" max="3261" width="9.109375" style="28"/>
    <col min="3262" max="3262" width="40.6640625" style="28" customWidth="1"/>
    <col min="3263" max="3263" width="10.6640625" style="28" customWidth="1"/>
    <col min="3264" max="3273" width="12.6640625" style="28" customWidth="1"/>
    <col min="3274" max="3517" width="9.109375" style="28"/>
    <col min="3518" max="3518" width="40.6640625" style="28" customWidth="1"/>
    <col min="3519" max="3519" width="10.6640625" style="28" customWidth="1"/>
    <col min="3520" max="3529" width="12.6640625" style="28" customWidth="1"/>
    <col min="3530" max="3773" width="9.109375" style="28"/>
    <col min="3774" max="3774" width="40.6640625" style="28" customWidth="1"/>
    <col min="3775" max="3775" width="10.6640625" style="28" customWidth="1"/>
    <col min="3776" max="3785" width="12.6640625" style="28" customWidth="1"/>
    <col min="3786" max="4029" width="9.109375" style="28"/>
    <col min="4030" max="4030" width="40.6640625" style="28" customWidth="1"/>
    <col min="4031" max="4031" width="10.6640625" style="28" customWidth="1"/>
    <col min="4032" max="4041" width="12.6640625" style="28" customWidth="1"/>
    <col min="4042" max="4285" width="9.109375" style="28"/>
    <col min="4286" max="4286" width="40.6640625" style="28" customWidth="1"/>
    <col min="4287" max="4287" width="10.6640625" style="28" customWidth="1"/>
    <col min="4288" max="4297" width="12.6640625" style="28" customWidth="1"/>
    <col min="4298" max="4541" width="9.109375" style="28"/>
    <col min="4542" max="4542" width="40.6640625" style="28" customWidth="1"/>
    <col min="4543" max="4543" width="10.6640625" style="28" customWidth="1"/>
    <col min="4544" max="4553" width="12.6640625" style="28" customWidth="1"/>
    <col min="4554" max="4797" width="9.109375" style="28"/>
    <col min="4798" max="4798" width="40.6640625" style="28" customWidth="1"/>
    <col min="4799" max="4799" width="10.6640625" style="28" customWidth="1"/>
    <col min="4800" max="4809" width="12.6640625" style="28" customWidth="1"/>
    <col min="4810" max="5053" width="9.109375" style="28"/>
    <col min="5054" max="5054" width="40.6640625" style="28" customWidth="1"/>
    <col min="5055" max="5055" width="10.6640625" style="28" customWidth="1"/>
    <col min="5056" max="5065" width="12.6640625" style="28" customWidth="1"/>
    <col min="5066" max="5309" width="9.109375" style="28"/>
    <col min="5310" max="5310" width="40.6640625" style="28" customWidth="1"/>
    <col min="5311" max="5311" width="10.6640625" style="28" customWidth="1"/>
    <col min="5312" max="5321" width="12.6640625" style="28" customWidth="1"/>
    <col min="5322" max="5565" width="9.109375" style="28"/>
    <col min="5566" max="5566" width="40.6640625" style="28" customWidth="1"/>
    <col min="5567" max="5567" width="10.6640625" style="28" customWidth="1"/>
    <col min="5568" max="5577" width="12.6640625" style="28" customWidth="1"/>
    <col min="5578" max="5821" width="9.109375" style="28"/>
    <col min="5822" max="5822" width="40.6640625" style="28" customWidth="1"/>
    <col min="5823" max="5823" width="10.6640625" style="28" customWidth="1"/>
    <col min="5824" max="5833" width="12.6640625" style="28" customWidth="1"/>
    <col min="5834" max="6077" width="9.109375" style="28"/>
    <col min="6078" max="6078" width="40.6640625" style="28" customWidth="1"/>
    <col min="6079" max="6079" width="10.6640625" style="28" customWidth="1"/>
    <col min="6080" max="6089" width="12.6640625" style="28" customWidth="1"/>
    <col min="6090" max="6333" width="9.109375" style="28"/>
    <col min="6334" max="6334" width="40.6640625" style="28" customWidth="1"/>
    <col min="6335" max="6335" width="10.6640625" style="28" customWidth="1"/>
    <col min="6336" max="6345" width="12.6640625" style="28" customWidth="1"/>
    <col min="6346" max="6589" width="9.109375" style="28"/>
    <col min="6590" max="6590" width="40.6640625" style="28" customWidth="1"/>
    <col min="6591" max="6591" width="10.6640625" style="28" customWidth="1"/>
    <col min="6592" max="6601" width="12.6640625" style="28" customWidth="1"/>
    <col min="6602" max="6845" width="9.109375" style="28"/>
    <col min="6846" max="6846" width="40.6640625" style="28" customWidth="1"/>
    <col min="6847" max="6847" width="10.6640625" style="28" customWidth="1"/>
    <col min="6848" max="6857" width="12.6640625" style="28" customWidth="1"/>
    <col min="6858" max="7101" width="9.109375" style="28"/>
    <col min="7102" max="7102" width="40.6640625" style="28" customWidth="1"/>
    <col min="7103" max="7103" width="10.6640625" style="28" customWidth="1"/>
    <col min="7104" max="7113" width="12.6640625" style="28" customWidth="1"/>
    <col min="7114" max="7357" width="9.109375" style="28"/>
    <col min="7358" max="7358" width="40.6640625" style="28" customWidth="1"/>
    <col min="7359" max="7359" width="10.6640625" style="28" customWidth="1"/>
    <col min="7360" max="7369" width="12.6640625" style="28" customWidth="1"/>
    <col min="7370" max="7613" width="9.109375" style="28"/>
    <col min="7614" max="7614" width="40.6640625" style="28" customWidth="1"/>
    <col min="7615" max="7615" width="10.6640625" style="28" customWidth="1"/>
    <col min="7616" max="7625" width="12.6640625" style="28" customWidth="1"/>
    <col min="7626" max="7869" width="9.109375" style="28"/>
    <col min="7870" max="7870" width="40.6640625" style="28" customWidth="1"/>
    <col min="7871" max="7871" width="10.6640625" style="28" customWidth="1"/>
    <col min="7872" max="7881" width="12.6640625" style="28" customWidth="1"/>
    <col min="7882" max="8125" width="9.109375" style="28"/>
    <col min="8126" max="8126" width="40.6640625" style="28" customWidth="1"/>
    <col min="8127" max="8127" width="10.6640625" style="28" customWidth="1"/>
    <col min="8128" max="8137" width="12.6640625" style="28" customWidth="1"/>
    <col min="8138" max="8381" width="9.109375" style="28"/>
    <col min="8382" max="8382" width="40.6640625" style="28" customWidth="1"/>
    <col min="8383" max="8383" width="10.6640625" style="28" customWidth="1"/>
    <col min="8384" max="8393" width="12.6640625" style="28" customWidth="1"/>
    <col min="8394" max="8637" width="9.109375" style="28"/>
    <col min="8638" max="8638" width="40.6640625" style="28" customWidth="1"/>
    <col min="8639" max="8639" width="10.6640625" style="28" customWidth="1"/>
    <col min="8640" max="8649" width="12.6640625" style="28" customWidth="1"/>
    <col min="8650" max="8893" width="9.109375" style="28"/>
    <col min="8894" max="8894" width="40.6640625" style="28" customWidth="1"/>
    <col min="8895" max="8895" width="10.6640625" style="28" customWidth="1"/>
    <col min="8896" max="8905" width="12.6640625" style="28" customWidth="1"/>
    <col min="8906" max="9149" width="9.109375" style="28"/>
    <col min="9150" max="9150" width="40.6640625" style="28" customWidth="1"/>
    <col min="9151" max="9151" width="10.6640625" style="28" customWidth="1"/>
    <col min="9152" max="9161" width="12.6640625" style="28" customWidth="1"/>
    <col min="9162" max="9405" width="9.109375" style="28"/>
    <col min="9406" max="9406" width="40.6640625" style="28" customWidth="1"/>
    <col min="9407" max="9407" width="10.6640625" style="28" customWidth="1"/>
    <col min="9408" max="9417" width="12.6640625" style="28" customWidth="1"/>
    <col min="9418" max="9661" width="9.109375" style="28"/>
    <col min="9662" max="9662" width="40.6640625" style="28" customWidth="1"/>
    <col min="9663" max="9663" width="10.6640625" style="28" customWidth="1"/>
    <col min="9664" max="9673" width="12.6640625" style="28" customWidth="1"/>
    <col min="9674" max="9917" width="9.109375" style="28"/>
    <col min="9918" max="9918" width="40.6640625" style="28" customWidth="1"/>
    <col min="9919" max="9919" width="10.6640625" style="28" customWidth="1"/>
    <col min="9920" max="9929" width="12.6640625" style="28" customWidth="1"/>
    <col min="9930" max="10173" width="9.109375" style="28"/>
    <col min="10174" max="10174" width="40.6640625" style="28" customWidth="1"/>
    <col min="10175" max="10175" width="10.6640625" style="28" customWidth="1"/>
    <col min="10176" max="10185" width="12.6640625" style="28" customWidth="1"/>
    <col min="10186" max="10429" width="9.109375" style="28"/>
    <col min="10430" max="10430" width="40.6640625" style="28" customWidth="1"/>
    <col min="10431" max="10431" width="10.6640625" style="28" customWidth="1"/>
    <col min="10432" max="10441" width="12.6640625" style="28" customWidth="1"/>
    <col min="10442" max="10685" width="9.109375" style="28"/>
    <col min="10686" max="10686" width="40.6640625" style="28" customWidth="1"/>
    <col min="10687" max="10687" width="10.6640625" style="28" customWidth="1"/>
    <col min="10688" max="10697" width="12.6640625" style="28" customWidth="1"/>
    <col min="10698" max="10941" width="9.109375" style="28"/>
    <col min="10942" max="10942" width="40.6640625" style="28" customWidth="1"/>
    <col min="10943" max="10943" width="10.6640625" style="28" customWidth="1"/>
    <col min="10944" max="10953" width="12.6640625" style="28" customWidth="1"/>
    <col min="10954" max="11197" width="9.109375" style="28"/>
    <col min="11198" max="11198" width="40.6640625" style="28" customWidth="1"/>
    <col min="11199" max="11199" width="10.6640625" style="28" customWidth="1"/>
    <col min="11200" max="11209" width="12.6640625" style="28" customWidth="1"/>
    <col min="11210" max="11453" width="9.109375" style="28"/>
    <col min="11454" max="11454" width="40.6640625" style="28" customWidth="1"/>
    <col min="11455" max="11455" width="10.6640625" style="28" customWidth="1"/>
    <col min="11456" max="11465" width="12.6640625" style="28" customWidth="1"/>
    <col min="11466" max="11709" width="9.109375" style="28"/>
    <col min="11710" max="11710" width="40.6640625" style="28" customWidth="1"/>
    <col min="11711" max="11711" width="10.6640625" style="28" customWidth="1"/>
    <col min="11712" max="11721" width="12.6640625" style="28" customWidth="1"/>
    <col min="11722" max="11965" width="9.109375" style="28"/>
    <col min="11966" max="11966" width="40.6640625" style="28" customWidth="1"/>
    <col min="11967" max="11967" width="10.6640625" style="28" customWidth="1"/>
    <col min="11968" max="11977" width="12.6640625" style="28" customWidth="1"/>
    <col min="11978" max="12221" width="9.109375" style="28"/>
    <col min="12222" max="12222" width="40.6640625" style="28" customWidth="1"/>
    <col min="12223" max="12223" width="10.6640625" style="28" customWidth="1"/>
    <col min="12224" max="12233" width="12.6640625" style="28" customWidth="1"/>
    <col min="12234" max="12477" width="9.109375" style="28"/>
    <col min="12478" max="12478" width="40.6640625" style="28" customWidth="1"/>
    <col min="12479" max="12479" width="10.6640625" style="28" customWidth="1"/>
    <col min="12480" max="12489" width="12.6640625" style="28" customWidth="1"/>
    <col min="12490" max="12733" width="9.109375" style="28"/>
    <col min="12734" max="12734" width="40.6640625" style="28" customWidth="1"/>
    <col min="12735" max="12735" width="10.6640625" style="28" customWidth="1"/>
    <col min="12736" max="12745" width="12.6640625" style="28" customWidth="1"/>
    <col min="12746" max="12989" width="9.109375" style="28"/>
    <col min="12990" max="12990" width="40.6640625" style="28" customWidth="1"/>
    <col min="12991" max="12991" width="10.6640625" style="28" customWidth="1"/>
    <col min="12992" max="13001" width="12.6640625" style="28" customWidth="1"/>
    <col min="13002" max="13245" width="9.109375" style="28"/>
    <col min="13246" max="13246" width="40.6640625" style="28" customWidth="1"/>
    <col min="13247" max="13247" width="10.6640625" style="28" customWidth="1"/>
    <col min="13248" max="13257" width="12.6640625" style="28" customWidth="1"/>
    <col min="13258" max="13501" width="9.109375" style="28"/>
    <col min="13502" max="13502" width="40.6640625" style="28" customWidth="1"/>
    <col min="13503" max="13503" width="10.6640625" style="28" customWidth="1"/>
    <col min="13504" max="13513" width="12.6640625" style="28" customWidth="1"/>
    <col min="13514" max="13757" width="9.109375" style="28"/>
    <col min="13758" max="13758" width="40.6640625" style="28" customWidth="1"/>
    <col min="13759" max="13759" width="10.6640625" style="28" customWidth="1"/>
    <col min="13760" max="13769" width="12.6640625" style="28" customWidth="1"/>
    <col min="13770" max="14013" width="9.109375" style="28"/>
    <col min="14014" max="14014" width="40.6640625" style="28" customWidth="1"/>
    <col min="14015" max="14015" width="10.6640625" style="28" customWidth="1"/>
    <col min="14016" max="14025" width="12.6640625" style="28" customWidth="1"/>
    <col min="14026" max="14269" width="9.109375" style="28"/>
    <col min="14270" max="14270" width="40.6640625" style="28" customWidth="1"/>
    <col min="14271" max="14271" width="10.6640625" style="28" customWidth="1"/>
    <col min="14272" max="14281" width="12.6640625" style="28" customWidth="1"/>
    <col min="14282" max="14525" width="9.109375" style="28"/>
    <col min="14526" max="14526" width="40.6640625" style="28" customWidth="1"/>
    <col min="14527" max="14527" width="10.6640625" style="28" customWidth="1"/>
    <col min="14528" max="14537" width="12.6640625" style="28" customWidth="1"/>
    <col min="14538" max="14781" width="9.109375" style="28"/>
    <col min="14782" max="14782" width="40.6640625" style="28" customWidth="1"/>
    <col min="14783" max="14783" width="10.6640625" style="28" customWidth="1"/>
    <col min="14784" max="14793" width="12.6640625" style="28" customWidth="1"/>
    <col min="14794" max="15037" width="9.109375" style="28"/>
    <col min="15038" max="15038" width="40.6640625" style="28" customWidth="1"/>
    <col min="15039" max="15039" width="10.6640625" style="28" customWidth="1"/>
    <col min="15040" max="15049" width="12.6640625" style="28" customWidth="1"/>
    <col min="15050" max="15293" width="9.109375" style="28"/>
    <col min="15294" max="15294" width="40.6640625" style="28" customWidth="1"/>
    <col min="15295" max="15295" width="10.6640625" style="28" customWidth="1"/>
    <col min="15296" max="15305" width="12.6640625" style="28" customWidth="1"/>
    <col min="15306" max="15549" width="9.109375" style="28"/>
    <col min="15550" max="15550" width="40.6640625" style="28" customWidth="1"/>
    <col min="15551" max="15551" width="10.6640625" style="28" customWidth="1"/>
    <col min="15552" max="15561" width="12.6640625" style="28" customWidth="1"/>
    <col min="15562" max="15805" width="9.109375" style="28"/>
    <col min="15806" max="15806" width="40.6640625" style="28" customWidth="1"/>
    <col min="15807" max="15807" width="10.6640625" style="28" customWidth="1"/>
    <col min="15808" max="15817" width="12.6640625" style="28" customWidth="1"/>
    <col min="15818" max="16061" width="9.109375" style="28"/>
    <col min="16062" max="16062" width="40.6640625" style="28" customWidth="1"/>
    <col min="16063" max="16063" width="10.6640625" style="28" customWidth="1"/>
    <col min="16064" max="16073" width="12.6640625" style="28" customWidth="1"/>
    <col min="16074" max="16384" width="9.109375" style="28"/>
  </cols>
  <sheetData>
    <row r="1" spans="1:34" s="22" customFormat="1" ht="12.75" customHeight="1" x14ac:dyDescent="0.3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5.2" x14ac:dyDescent="0.3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>O2+7+ISNUMBER(MATCH(O2+7,$Z$2:$AG$2,0))*7</f>
        <v>41379</v>
      </c>
      <c r="Q2" s="27">
        <f t="shared" ref="Q2:W2" si="0">P2+7+ISNUMBER(MATCH(P2+7,$Z$2:$AG$2,0))*7</f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3">
      <c r="A3" s="18"/>
      <c r="B3" s="4">
        <v>1</v>
      </c>
      <c r="C3" s="69" t="s">
        <v>69</v>
      </c>
      <c r="D3" s="69" t="s">
        <v>70</v>
      </c>
      <c r="E3" s="69" t="s">
        <v>17</v>
      </c>
      <c r="F3" s="90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3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W39" si="2">IF(ISNUMBER(P3)," ",IF(P3="X","X"," "))</f>
        <v>X</v>
      </c>
      <c r="R3" s="51" t="str">
        <f t="shared" si="2"/>
        <v>X</v>
      </c>
      <c r="S3" s="51" t="str">
        <f t="shared" ref="S3:T39" si="3">IF(ISNUMBER(R3)," ",IF(R3="X","X"," "))</f>
        <v>X</v>
      </c>
      <c r="T3" s="51" t="str">
        <f t="shared" si="3"/>
        <v>X</v>
      </c>
      <c r="U3" s="51" t="str">
        <f t="shared" ref="U3:U39" si="4">IF(ISNUMBER(T3)," ",IF(T3="X","X"," "))</f>
        <v>X</v>
      </c>
      <c r="V3" s="51" t="str">
        <f t="shared" si="2"/>
        <v>X</v>
      </c>
      <c r="W3" s="51" t="str">
        <f t="shared" si="2"/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7.6" x14ac:dyDescent="0.3">
      <c r="A4" s="18"/>
      <c r="B4" s="4">
        <v>2</v>
      </c>
      <c r="C4" s="69" t="s">
        <v>69</v>
      </c>
      <c r="D4" s="69" t="s">
        <v>71</v>
      </c>
      <c r="E4" s="69"/>
      <c r="F4" s="90" t="s">
        <v>113</v>
      </c>
      <c r="G4" s="45">
        <v>41372</v>
      </c>
      <c r="H4" s="45">
        <v>41379</v>
      </c>
      <c r="I4" s="77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41372</v>
      </c>
      <c r="N4" s="56">
        <f t="shared" ref="N4:N39" si="5">SUM(O4:CG4)</f>
        <v>10.5</v>
      </c>
      <c r="O4" s="51">
        <v>10.5</v>
      </c>
      <c r="P4" s="51" t="s">
        <v>123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7.6" x14ac:dyDescent="0.3">
      <c r="A5" s="18"/>
      <c r="B5" s="4">
        <v>3</v>
      </c>
      <c r="C5" s="69" t="s">
        <v>69</v>
      </c>
      <c r="D5" s="69" t="s">
        <v>72</v>
      </c>
      <c r="E5" s="69"/>
      <c r="F5" s="90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5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7.6" x14ac:dyDescent="0.3">
      <c r="A6" s="18"/>
      <c r="B6" s="4">
        <v>4</v>
      </c>
      <c r="C6" s="69" t="s">
        <v>69</v>
      </c>
      <c r="D6" s="69" t="s">
        <v>73</v>
      </c>
      <c r="E6" s="69"/>
      <c r="F6" s="90" t="s">
        <v>114</v>
      </c>
      <c r="G6" s="45">
        <v>41372</v>
      </c>
      <c r="H6" s="45">
        <v>41393</v>
      </c>
      <c r="I6" s="77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5"/>
        <v>6</v>
      </c>
      <c r="O6" s="51">
        <v>6</v>
      </c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7.6" x14ac:dyDescent="0.3">
      <c r="A7" s="18"/>
      <c r="B7" s="4">
        <v>5</v>
      </c>
      <c r="C7" s="69" t="s">
        <v>69</v>
      </c>
      <c r="D7" s="69" t="s">
        <v>110</v>
      </c>
      <c r="E7" s="69" t="s">
        <v>109</v>
      </c>
      <c r="F7" s="90" t="s">
        <v>115</v>
      </c>
      <c r="G7" s="45">
        <v>41379</v>
      </c>
      <c r="H7" s="45">
        <v>41393</v>
      </c>
      <c r="I7" s="77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5"/>
        <v>10</v>
      </c>
      <c r="O7" s="51">
        <v>10</v>
      </c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7.6" x14ac:dyDescent="0.3">
      <c r="A8" s="18"/>
      <c r="B8" s="4">
        <v>6</v>
      </c>
      <c r="C8" s="69" t="s">
        <v>69</v>
      </c>
      <c r="D8" s="69" t="s">
        <v>74</v>
      </c>
      <c r="E8" s="69" t="s">
        <v>75</v>
      </c>
      <c r="F8" s="90" t="s">
        <v>122</v>
      </c>
      <c r="G8" s="45">
        <v>41386</v>
      </c>
      <c r="H8" s="45">
        <v>41393</v>
      </c>
      <c r="I8" s="77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5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7.6" x14ac:dyDescent="0.3">
      <c r="A9" s="18"/>
      <c r="B9" s="4">
        <v>7</v>
      </c>
      <c r="C9" s="69" t="s">
        <v>69</v>
      </c>
      <c r="D9" s="69" t="s">
        <v>74</v>
      </c>
      <c r="E9" s="69" t="s">
        <v>76</v>
      </c>
      <c r="F9" s="90" t="s">
        <v>122</v>
      </c>
      <c r="G9" s="45">
        <v>41393</v>
      </c>
      <c r="H9" s="45">
        <v>41407</v>
      </c>
      <c r="I9" s="77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5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7.6" x14ac:dyDescent="0.3">
      <c r="A10" s="18"/>
      <c r="B10" s="4">
        <v>8</v>
      </c>
      <c r="C10" s="69" t="s">
        <v>69</v>
      </c>
      <c r="D10" s="69" t="s">
        <v>74</v>
      </c>
      <c r="E10" s="70" t="s">
        <v>77</v>
      </c>
      <c r="F10" s="90" t="s">
        <v>116</v>
      </c>
      <c r="G10" s="45">
        <v>41393</v>
      </c>
      <c r="H10" s="45">
        <v>41407</v>
      </c>
      <c r="I10" s="77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5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8.2" thickBot="1" x14ac:dyDescent="0.35">
      <c r="A11" s="18"/>
      <c r="B11" s="73">
        <v>9</v>
      </c>
      <c r="C11" s="74" t="s">
        <v>69</v>
      </c>
      <c r="D11" s="75" t="s">
        <v>78</v>
      </c>
      <c r="E11" s="75"/>
      <c r="F11" s="90" t="s">
        <v>117</v>
      </c>
      <c r="G11" s="83">
        <v>41393</v>
      </c>
      <c r="H11" s="83">
        <v>41407</v>
      </c>
      <c r="I11" s="77">
        <v>7</v>
      </c>
      <c r="J11" s="84">
        <v>1</v>
      </c>
      <c r="K11" s="85">
        <v>10</v>
      </c>
      <c r="L11" s="86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7">
        <f t="shared" si="5"/>
        <v>0</v>
      </c>
      <c r="O11" s="88"/>
      <c r="P11" s="88"/>
      <c r="Q11" s="88"/>
      <c r="R11" s="88"/>
      <c r="S11" s="88"/>
      <c r="T11" s="88"/>
      <c r="U11" s="88"/>
      <c r="V11" s="88"/>
      <c r="W11" s="88"/>
      <c r="X11" s="89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7.6" x14ac:dyDescent="0.3">
      <c r="A12" s="18"/>
      <c r="B12" s="71">
        <v>10</v>
      </c>
      <c r="C12" s="72" t="s">
        <v>79</v>
      </c>
      <c r="D12" s="72" t="s">
        <v>80</v>
      </c>
      <c r="E12" s="72" t="s">
        <v>81</v>
      </c>
      <c r="F12" s="90" t="s">
        <v>118</v>
      </c>
      <c r="G12" s="76">
        <v>41386</v>
      </c>
      <c r="H12" s="76">
        <v>41393</v>
      </c>
      <c r="I12" s="77">
        <v>4</v>
      </c>
      <c r="J12" s="77">
        <v>1</v>
      </c>
      <c r="K12" s="78">
        <v>3</v>
      </c>
      <c r="L12" s="79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80">
        <f t="shared" si="5"/>
        <v>0</v>
      </c>
      <c r="O12" s="81"/>
      <c r="P12" s="81"/>
      <c r="Q12" s="81"/>
      <c r="R12" s="81"/>
      <c r="S12" s="81" t="str">
        <f t="shared" si="3"/>
        <v xml:space="preserve"> </v>
      </c>
      <c r="T12" s="81" t="str">
        <f t="shared" si="3"/>
        <v xml:space="preserve"> </v>
      </c>
      <c r="U12" s="81" t="str">
        <f t="shared" si="4"/>
        <v xml:space="preserve"> </v>
      </c>
      <c r="V12" s="81" t="str">
        <f t="shared" si="2"/>
        <v xml:space="preserve"> </v>
      </c>
      <c r="W12" s="81" t="str">
        <f t="shared" ref="W12" si="6">IF(ISNUMBER(V12)," ",IF(V12="X","X"," "))</f>
        <v xml:space="preserve"> </v>
      </c>
      <c r="X12" s="82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7.6" x14ac:dyDescent="0.3">
      <c r="A13" s="18"/>
      <c r="B13" s="4">
        <v>11</v>
      </c>
      <c r="C13" s="69" t="s">
        <v>79</v>
      </c>
      <c r="D13" s="69" t="s">
        <v>80</v>
      </c>
      <c r="E13" s="69" t="s">
        <v>82</v>
      </c>
      <c r="F13" s="90" t="s">
        <v>122</v>
      </c>
      <c r="G13" s="76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5"/>
        <v>0</v>
      </c>
      <c r="O13" s="51"/>
      <c r="P13" s="51"/>
      <c r="Q13" s="51"/>
      <c r="R13" s="51"/>
      <c r="S13" s="51" t="str">
        <f t="shared" si="3"/>
        <v xml:space="preserve"> </v>
      </c>
      <c r="T13" s="51" t="str">
        <f t="shared" si="3"/>
        <v xml:space="preserve"> </v>
      </c>
      <c r="U13" s="51" t="str">
        <f t="shared" si="4"/>
        <v xml:space="preserve"> </v>
      </c>
      <c r="V13" s="51" t="str">
        <f t="shared" si="2"/>
        <v xml:space="preserve"> </v>
      </c>
      <c r="W13" s="51" t="str">
        <f t="shared" ref="W13" si="7">IF(ISNUMBER(V13)," ",IF(V13="X","X"," "))</f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7.6" x14ac:dyDescent="0.3">
      <c r="A14" s="18"/>
      <c r="B14" s="4">
        <v>12</v>
      </c>
      <c r="C14" s="69" t="s">
        <v>79</v>
      </c>
      <c r="D14" s="69" t="s">
        <v>83</v>
      </c>
      <c r="E14" s="69" t="s">
        <v>84</v>
      </c>
      <c r="F14" s="90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5"/>
        <v>0</v>
      </c>
      <c r="O14" s="51"/>
      <c r="P14" s="51"/>
      <c r="Q14" s="51"/>
      <c r="R14" s="51"/>
      <c r="S14" s="51"/>
      <c r="T14" s="51" t="str">
        <f t="shared" si="3"/>
        <v xml:space="preserve"> </v>
      </c>
      <c r="U14" s="51" t="str">
        <f t="shared" si="4"/>
        <v xml:space="preserve"> </v>
      </c>
      <c r="V14" s="51" t="str">
        <f t="shared" ref="V14:V36" si="8">IF(ISNUMBER(U14)," ",IF(U14="X","X"," "))</f>
        <v xml:space="preserve"> </v>
      </c>
      <c r="W14" s="51" t="str">
        <f t="shared" ref="W14:W36" si="9">IF(ISNUMBER(V14)," ",IF(V14="X","X"," "))</f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3">
      <c r="A15" s="18"/>
      <c r="B15" s="4">
        <v>13</v>
      </c>
      <c r="C15" s="69" t="s">
        <v>79</v>
      </c>
      <c r="D15" s="69" t="s">
        <v>85</v>
      </c>
      <c r="E15" s="69" t="s">
        <v>86</v>
      </c>
      <c r="F15" s="90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5"/>
        <v>0</v>
      </c>
      <c r="O15" s="51"/>
      <c r="P15" s="51" t="str">
        <f t="shared" ref="P15:Q15" si="10">IF(ISNUMBER(O15)," ",IF(O15="X","X"," "))</f>
        <v xml:space="preserve"> </v>
      </c>
      <c r="Q15" s="51" t="str">
        <f t="shared" si="10"/>
        <v xml:space="preserve"> </v>
      </c>
      <c r="R15" s="51"/>
      <c r="S15" s="51" t="str">
        <f t="shared" si="3"/>
        <v xml:space="preserve"> </v>
      </c>
      <c r="T15" s="51" t="str">
        <f t="shared" si="3"/>
        <v xml:space="preserve"> </v>
      </c>
      <c r="U15" s="51" t="str">
        <f t="shared" si="4"/>
        <v xml:space="preserve"> </v>
      </c>
      <c r="V15" s="51" t="str">
        <f t="shared" si="8"/>
        <v xml:space="preserve"> </v>
      </c>
      <c r="W15" s="51" t="str">
        <f t="shared" si="9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3">
      <c r="A16" s="18"/>
      <c r="B16" s="4">
        <v>14</v>
      </c>
      <c r="C16" s="69" t="s">
        <v>79</v>
      </c>
      <c r="D16" s="69" t="s">
        <v>89</v>
      </c>
      <c r="E16" s="69" t="s">
        <v>87</v>
      </c>
      <c r="F16" s="90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5"/>
        <v>0</v>
      </c>
      <c r="O16" s="51"/>
      <c r="P16" s="51" t="str">
        <f t="shared" ref="P16" si="11">IF(ISNUMBER(O16)," ",IF(O16="X","X"," "))</f>
        <v xml:space="preserve"> </v>
      </c>
      <c r="Q16" s="51"/>
      <c r="R16" s="51"/>
      <c r="S16" s="51" t="str">
        <f t="shared" si="3"/>
        <v xml:space="preserve"> </v>
      </c>
      <c r="T16" s="51" t="str">
        <f t="shared" si="3"/>
        <v xml:space="preserve"> </v>
      </c>
      <c r="U16" s="51" t="str">
        <f t="shared" si="4"/>
        <v xml:space="preserve"> </v>
      </c>
      <c r="V16" s="51" t="str">
        <f t="shared" si="8"/>
        <v xml:space="preserve"> </v>
      </c>
      <c r="W16" s="51" t="str">
        <f t="shared" si="9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3">
      <c r="A17" s="18"/>
      <c r="B17" s="4">
        <v>15</v>
      </c>
      <c r="C17" s="69" t="s">
        <v>79</v>
      </c>
      <c r="D17" s="69" t="s">
        <v>85</v>
      </c>
      <c r="E17" s="69" t="s">
        <v>111</v>
      </c>
      <c r="F17" s="90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5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3">
      <c r="A18" s="18"/>
      <c r="B18" s="4">
        <v>16</v>
      </c>
      <c r="C18" s="69" t="s">
        <v>79</v>
      </c>
      <c r="D18" s="69" t="s">
        <v>90</v>
      </c>
      <c r="E18" s="69" t="s">
        <v>86</v>
      </c>
      <c r="F18" s="90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5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3">
      <c r="A19" s="18"/>
      <c r="B19" s="4">
        <v>17</v>
      </c>
      <c r="C19" s="69" t="s">
        <v>79</v>
      </c>
      <c r="D19" s="69" t="s">
        <v>90</v>
      </c>
      <c r="E19" s="69" t="s">
        <v>87</v>
      </c>
      <c r="F19" s="90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5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3">
      <c r="A20" s="18"/>
      <c r="B20" s="4">
        <v>18</v>
      </c>
      <c r="C20" s="69" t="s">
        <v>79</v>
      </c>
      <c r="D20" s="69" t="s">
        <v>90</v>
      </c>
      <c r="E20" s="69" t="s">
        <v>88</v>
      </c>
      <c r="F20" s="90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5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3">
      <c r="A21" s="18"/>
      <c r="B21" s="4">
        <v>19</v>
      </c>
      <c r="C21" s="69" t="s">
        <v>79</v>
      </c>
      <c r="D21" s="69" t="s">
        <v>91</v>
      </c>
      <c r="E21" s="69" t="s">
        <v>86</v>
      </c>
      <c r="F21" s="90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5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3">
      <c r="A22" s="18"/>
      <c r="B22" s="4">
        <v>20</v>
      </c>
      <c r="C22" s="69" t="s">
        <v>79</v>
      </c>
      <c r="D22" s="69" t="s">
        <v>91</v>
      </c>
      <c r="E22" s="69" t="s">
        <v>87</v>
      </c>
      <c r="F22" s="90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5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3">
      <c r="A23" s="18"/>
      <c r="B23" s="4">
        <v>21</v>
      </c>
      <c r="C23" s="69" t="s">
        <v>79</v>
      </c>
      <c r="D23" s="69" t="s">
        <v>91</v>
      </c>
      <c r="E23" s="69" t="s">
        <v>88</v>
      </c>
      <c r="F23" s="90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5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3">
      <c r="A24" s="18"/>
      <c r="B24" s="4">
        <v>22</v>
      </c>
      <c r="C24" s="69" t="s">
        <v>79</v>
      </c>
      <c r="D24" s="69" t="s">
        <v>92</v>
      </c>
      <c r="E24" s="69" t="s">
        <v>93</v>
      </c>
      <c r="F24" s="90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5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3">
      <c r="A25" s="18"/>
      <c r="B25" s="4">
        <v>23</v>
      </c>
      <c r="C25" s="69" t="s">
        <v>79</v>
      </c>
      <c r="D25" s="69" t="s">
        <v>92</v>
      </c>
      <c r="E25" s="69" t="s">
        <v>94</v>
      </c>
      <c r="F25" s="90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5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3">
      <c r="A26" s="18"/>
      <c r="B26" s="4">
        <v>24</v>
      </c>
      <c r="C26" s="69" t="s">
        <v>79</v>
      </c>
      <c r="D26" s="69" t="s">
        <v>92</v>
      </c>
      <c r="E26" s="69" t="s">
        <v>95</v>
      </c>
      <c r="F26" s="90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5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3">
      <c r="A27" s="18"/>
      <c r="B27" s="4">
        <v>25</v>
      </c>
      <c r="C27" s="69" t="s">
        <v>79</v>
      </c>
      <c r="D27" s="69" t="s">
        <v>92</v>
      </c>
      <c r="E27" s="69" t="s">
        <v>96</v>
      </c>
      <c r="F27" s="90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5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3">
      <c r="A28" s="18"/>
      <c r="B28" s="4">
        <v>26</v>
      </c>
      <c r="C28" s="69" t="s">
        <v>79</v>
      </c>
      <c r="D28" s="69" t="s">
        <v>97</v>
      </c>
      <c r="E28" s="69" t="s">
        <v>86</v>
      </c>
      <c r="F28" s="90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5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3">
      <c r="A29" s="18"/>
      <c r="B29" s="4">
        <v>27</v>
      </c>
      <c r="C29" s="69" t="s">
        <v>79</v>
      </c>
      <c r="D29" s="69" t="s">
        <v>97</v>
      </c>
      <c r="E29" s="69" t="s">
        <v>87</v>
      </c>
      <c r="F29" s="90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5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3">
      <c r="A30" s="18"/>
      <c r="B30" s="4">
        <v>28</v>
      </c>
      <c r="C30" s="69" t="s">
        <v>79</v>
      </c>
      <c r="D30" s="69" t="s">
        <v>97</v>
      </c>
      <c r="E30" s="69" t="s">
        <v>88</v>
      </c>
      <c r="F30" s="90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5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3">
      <c r="A31" s="18"/>
      <c r="B31" s="4">
        <v>29</v>
      </c>
      <c r="C31" s="69" t="s">
        <v>79</v>
      </c>
      <c r="D31" s="69" t="s">
        <v>83</v>
      </c>
      <c r="E31" s="28" t="s">
        <v>98</v>
      </c>
      <c r="F31" s="90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5"/>
        <v>0</v>
      </c>
      <c r="O31" s="51"/>
      <c r="P31" s="51" t="str">
        <f t="shared" ref="P31" si="12">IF(ISNUMBER(O31)," ",IF(O31="X","X"," "))</f>
        <v xml:space="preserve"> </v>
      </c>
      <c r="Q31" s="51"/>
      <c r="R31" s="51"/>
      <c r="S31" s="51" t="str">
        <f t="shared" si="3"/>
        <v xml:space="preserve"> </v>
      </c>
      <c r="T31" s="51" t="str">
        <f t="shared" si="3"/>
        <v xml:space="preserve"> </v>
      </c>
      <c r="U31" s="51" t="str">
        <f t="shared" si="4"/>
        <v xml:space="preserve"> </v>
      </c>
      <c r="V31" s="51" t="str">
        <f t="shared" si="8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3">
      <c r="A32" s="18"/>
      <c r="B32" s="4">
        <v>30</v>
      </c>
      <c r="C32" s="69" t="s">
        <v>79</v>
      </c>
      <c r="D32" s="69" t="s">
        <v>83</v>
      </c>
      <c r="E32" s="69" t="s">
        <v>99</v>
      </c>
      <c r="F32" s="90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5"/>
        <v>0</v>
      </c>
      <c r="O32" s="51"/>
      <c r="P32" s="51" t="str">
        <f t="shared" ref="P32:R32" si="13">IF(ISNUMBER(O32)," ",IF(O32="X","X"," "))</f>
        <v xml:space="preserve"> </v>
      </c>
      <c r="Q32" s="51" t="str">
        <f t="shared" si="13"/>
        <v xml:space="preserve"> </v>
      </c>
      <c r="R32" s="51" t="str">
        <f t="shared" si="13"/>
        <v xml:space="preserve"> </v>
      </c>
      <c r="S32" s="51" t="str">
        <f t="shared" si="3"/>
        <v xml:space="preserve"> </v>
      </c>
      <c r="T32" s="51" t="str">
        <f t="shared" si="3"/>
        <v xml:space="preserve"> </v>
      </c>
      <c r="U32" s="51" t="str">
        <f t="shared" si="4"/>
        <v xml:space="preserve"> </v>
      </c>
      <c r="V32" s="51" t="str">
        <f t="shared" si="8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7.6" x14ac:dyDescent="0.3">
      <c r="A33" s="18"/>
      <c r="B33" s="4">
        <v>31</v>
      </c>
      <c r="C33" s="69" t="s">
        <v>79</v>
      </c>
      <c r="D33" s="69" t="s">
        <v>100</v>
      </c>
      <c r="E33" s="69" t="s">
        <v>75</v>
      </c>
      <c r="F33" s="90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5"/>
        <v>0</v>
      </c>
      <c r="O33" s="51"/>
      <c r="P33" s="51" t="str">
        <f t="shared" ref="P33:R33" si="14">IF(ISNUMBER(O33)," ",IF(O33="X","X"," "))</f>
        <v xml:space="preserve"> </v>
      </c>
      <c r="Q33" s="51" t="str">
        <f t="shared" si="14"/>
        <v xml:space="preserve"> </v>
      </c>
      <c r="R33" s="51" t="str">
        <f t="shared" si="14"/>
        <v xml:space="preserve"> </v>
      </c>
      <c r="S33" s="51" t="str">
        <f t="shared" si="3"/>
        <v xml:space="preserve"> </v>
      </c>
      <c r="T33" s="51" t="str">
        <f t="shared" si="3"/>
        <v xml:space="preserve"> </v>
      </c>
      <c r="U33" s="51" t="str">
        <f t="shared" si="4"/>
        <v xml:space="preserve"> </v>
      </c>
      <c r="V33" s="51" t="str">
        <f t="shared" si="8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7.6" x14ac:dyDescent="0.3">
      <c r="A34" s="18"/>
      <c r="B34" s="4">
        <v>32</v>
      </c>
      <c r="C34" s="69" t="s">
        <v>79</v>
      </c>
      <c r="D34" s="69" t="s">
        <v>100</v>
      </c>
      <c r="E34" s="69" t="s">
        <v>76</v>
      </c>
      <c r="F34" s="90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5"/>
        <v>0</v>
      </c>
      <c r="O34" s="51"/>
      <c r="P34" s="51" t="str">
        <f t="shared" ref="P34:R34" si="15">IF(ISNUMBER(O34)," ",IF(O34="X","X"," "))</f>
        <v xml:space="preserve"> </v>
      </c>
      <c r="Q34" s="51" t="str">
        <f t="shared" si="15"/>
        <v xml:space="preserve"> </v>
      </c>
      <c r="R34" s="51" t="str">
        <f t="shared" si="15"/>
        <v xml:space="preserve"> </v>
      </c>
      <c r="S34" s="51" t="str">
        <f t="shared" si="3"/>
        <v xml:space="preserve"> </v>
      </c>
      <c r="T34" s="51" t="str">
        <f t="shared" si="3"/>
        <v xml:space="preserve"> </v>
      </c>
      <c r="U34" s="51" t="str">
        <f t="shared" si="4"/>
        <v xml:space="preserve"> </v>
      </c>
      <c r="V34" s="51" t="str">
        <f t="shared" si="8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3">
      <c r="A35" s="18"/>
      <c r="B35" s="4">
        <v>33</v>
      </c>
      <c r="C35" s="69" t="s">
        <v>79</v>
      </c>
      <c r="D35" s="69" t="s">
        <v>100</v>
      </c>
      <c r="E35" s="69" t="s">
        <v>77</v>
      </c>
      <c r="F35" s="90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5"/>
        <v>0</v>
      </c>
      <c r="O35" s="51"/>
      <c r="P35" s="51" t="str">
        <f t="shared" ref="P35:R35" si="16">IF(ISNUMBER(O35)," ",IF(O35="X","X"," "))</f>
        <v xml:space="preserve"> </v>
      </c>
      <c r="Q35" s="51" t="str">
        <f t="shared" si="16"/>
        <v xml:space="preserve"> </v>
      </c>
      <c r="R35" s="51" t="str">
        <f t="shared" si="16"/>
        <v xml:space="preserve"> </v>
      </c>
      <c r="S35" s="51" t="str">
        <f t="shared" si="3"/>
        <v xml:space="preserve"> </v>
      </c>
      <c r="T35" s="51" t="str">
        <f t="shared" si="3"/>
        <v xml:space="preserve"> </v>
      </c>
      <c r="U35" s="51" t="str">
        <f t="shared" si="4"/>
        <v xml:space="preserve"> </v>
      </c>
      <c r="V35" s="51" t="str">
        <f t="shared" si="8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3">
      <c r="A36" s="18"/>
      <c r="B36" s="4">
        <v>34</v>
      </c>
      <c r="C36" s="69" t="s">
        <v>79</v>
      </c>
      <c r="D36" s="69" t="s">
        <v>101</v>
      </c>
      <c r="E36" s="69" t="s">
        <v>102</v>
      </c>
      <c r="F36" s="90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5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3"/>
        <v xml:space="preserve"> </v>
      </c>
      <c r="T36" s="51" t="str">
        <f t="shared" si="3"/>
        <v xml:space="preserve"> </v>
      </c>
      <c r="U36" s="51" t="str">
        <f t="shared" si="4"/>
        <v xml:space="preserve"> </v>
      </c>
      <c r="V36" s="51" t="str">
        <f t="shared" si="8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3">
      <c r="A37" s="18"/>
      <c r="B37" s="4">
        <v>35</v>
      </c>
      <c r="C37" s="69" t="s">
        <v>79</v>
      </c>
      <c r="D37" s="69" t="s">
        <v>101</v>
      </c>
      <c r="E37" s="69" t="s">
        <v>103</v>
      </c>
      <c r="F37" s="90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5"/>
        <v>0</v>
      </c>
      <c r="O37" s="51"/>
      <c r="P37" s="51" t="str">
        <f t="shared" ref="P37:W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3"/>
        <v xml:space="preserve"> </v>
      </c>
      <c r="T37" s="51" t="str">
        <f t="shared" si="3"/>
        <v xml:space="preserve"> </v>
      </c>
      <c r="U37" s="51" t="str">
        <f t="shared" si="4"/>
        <v xml:space="preserve"> </v>
      </c>
      <c r="V37" s="51" t="str">
        <f t="shared" si="2"/>
        <v xml:space="preserve"> </v>
      </c>
      <c r="W37" s="51" t="str">
        <f t="shared" si="18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3">
      <c r="A38" s="18"/>
      <c r="B38" s="4"/>
      <c r="C38" s="69"/>
      <c r="D38" s="69"/>
      <c r="E38" s="69"/>
      <c r="F38" s="17"/>
      <c r="G38" s="45" t="str">
        <f ca="1">IF(OR(ISBLANK($G$3),ISBLANK($C38)),"",OFFSET($O$2,0,I38+MATCH(G37,$O$2:$W$2,0)-1))</f>
        <v/>
      </c>
      <c r="H38" s="45" t="str">
        <f ca="1">IF(OR(ISBLANK($G$3),ISBLANK($C38)),"",OFFSET($O$2,0,J38+MATCH(G38,$O$2:$W$2,0)-1))</f>
        <v/>
      </c>
      <c r="I38" s="43"/>
      <c r="J38" s="43"/>
      <c r="K38" s="3"/>
      <c r="L38" s="55" t="str">
        <f t="array" ref="L38">IF(ISNA(INDEX($O$2:$DA$2,1,MATCH(1,IF($O38:$DM38,1),0))),"",INDEX($O$2:$DA$2,1,MATCH(1,IF($O38:$DM38,1),0)))</f>
        <v/>
      </c>
      <c r="M38" s="55" t="str">
        <f t="shared" si="1"/>
        <v/>
      </c>
      <c r="N38" s="56">
        <f t="shared" si="5"/>
        <v>0</v>
      </c>
      <c r="O38" s="51"/>
      <c r="P38" s="51" t="str">
        <f t="shared" ref="P38:W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3"/>
        <v xml:space="preserve"> </v>
      </c>
      <c r="T38" s="51" t="str">
        <f t="shared" si="3"/>
        <v xml:space="preserve"> </v>
      </c>
      <c r="U38" s="51" t="str">
        <f t="shared" si="4"/>
        <v xml:space="preserve"> </v>
      </c>
      <c r="V38" s="51" t="str">
        <f t="shared" si="2"/>
        <v xml:space="preserve"> </v>
      </c>
      <c r="W38" s="51" t="str">
        <f t="shared" si="19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3">
      <c r="A39" s="18"/>
      <c r="B39" s="4"/>
      <c r="C39" s="4"/>
      <c r="D39" s="4"/>
      <c r="E39" s="4"/>
      <c r="F39" s="17"/>
      <c r="G39" s="45" t="str">
        <f ca="1">IF(OR(ISBLANK($G$3),ISBLANK($C39)),"",OFFSET($O$2,0,I39+MATCH(G38,$O$2:$W$2,0)-1))</f>
        <v/>
      </c>
      <c r="H39" s="45" t="str">
        <f ca="1">IF(OR(ISBLANK($G$3),ISBLANK($C39)),"",OFFSET($O$2,0,J39))</f>
        <v/>
      </c>
      <c r="I39" s="43"/>
      <c r="J39" s="43"/>
      <c r="K39" s="3"/>
      <c r="L39" s="55" t="str">
        <f t="array" ref="L39">IF(ISNA(INDEX($O$2:$DA$2,1,MATCH(1,IF($O39:$DM39,1),0))),"",INDEX($O$2:$DA$2,1,MATCH(1,IF($O39:$DM39,1),0)))</f>
        <v/>
      </c>
      <c r="M39" s="55" t="str">
        <f t="shared" si="1"/>
        <v/>
      </c>
      <c r="N39" s="56">
        <f t="shared" si="5"/>
        <v>0</v>
      </c>
      <c r="O39" s="51"/>
      <c r="P39" s="51" t="str">
        <f t="shared" ref="P39" si="20">IF(ISNUMBER(O39)," ",IF(O39="X","X"," "))</f>
        <v xml:space="preserve"> </v>
      </c>
      <c r="Q39" s="51" t="str">
        <f t="shared" ref="Q39" si="21">IF(ISNUMBER(P39)," ",IF(P39="X","X"," "))</f>
        <v xml:space="preserve"> </v>
      </c>
      <c r="R39" s="51" t="str">
        <f t="shared" ref="R39" si="22">IF(ISNUMBER(Q39)," ",IF(Q39="X","X"," "))</f>
        <v xml:space="preserve"> </v>
      </c>
      <c r="S39" s="51" t="str">
        <f t="shared" si="3"/>
        <v xml:space="preserve"> </v>
      </c>
      <c r="T39" s="51" t="str">
        <f t="shared" si="3"/>
        <v xml:space="preserve"> </v>
      </c>
      <c r="U39" s="51" t="str">
        <f t="shared" si="4"/>
        <v xml:space="preserve"> </v>
      </c>
      <c r="V39" s="51" t="str">
        <f t="shared" si="2"/>
        <v xml:space="preserve"> </v>
      </c>
      <c r="W39" s="51" t="str">
        <f t="shared" ref="W39" si="23">IF(ISNUMBER(V39)," ",IF(V39="X","X"," "))</f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3">
      <c r="A40" s="18"/>
      <c r="B40" s="18"/>
      <c r="C40" s="18"/>
      <c r="D40" s="18"/>
      <c r="E40" s="18"/>
      <c r="F40" s="18"/>
      <c r="G40" s="18"/>
      <c r="H40" s="18"/>
      <c r="I40" s="64" t="s">
        <v>59</v>
      </c>
      <c r="J40" s="48">
        <f>MATCH(MAX($O$2:$W$2),$O$2:$W$2,0)-1</f>
        <v>8</v>
      </c>
      <c r="K40" s="18"/>
      <c r="L40" s="18"/>
      <c r="M40" s="18"/>
      <c r="N40" s="38" t="s">
        <v>61</v>
      </c>
      <c r="O40" s="56">
        <f t="shared" ref="O40:W40" si="24">SUM(O3:O39)</f>
        <v>31.75</v>
      </c>
      <c r="P40" s="56">
        <f t="shared" si="24"/>
        <v>0</v>
      </c>
      <c r="Q40" s="56">
        <f t="shared" si="24"/>
        <v>0</v>
      </c>
      <c r="R40" s="56">
        <f t="shared" si="24"/>
        <v>0</v>
      </c>
      <c r="S40" s="56">
        <f t="shared" si="24"/>
        <v>0</v>
      </c>
      <c r="T40" s="56">
        <f t="shared" si="24"/>
        <v>0</v>
      </c>
      <c r="U40" s="56">
        <f t="shared" si="24"/>
        <v>0</v>
      </c>
      <c r="V40" s="56">
        <f t="shared" si="24"/>
        <v>0</v>
      </c>
      <c r="W40" s="56">
        <f t="shared" si="24"/>
        <v>0</v>
      </c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3">
      <c r="A41" s="18"/>
      <c r="B41" s="18"/>
      <c r="C41" s="18"/>
      <c r="D41" s="18"/>
      <c r="E41" s="18"/>
      <c r="F41" s="18"/>
      <c r="G41" s="18"/>
      <c r="H41" s="18"/>
      <c r="I41" s="102" t="s">
        <v>60</v>
      </c>
      <c r="J41" s="103"/>
      <c r="K41" s="48">
        <f>K43/J40</f>
        <v>31.84375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ht="44.4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27">
        <f>IF(OR(ISBLANK(O2),O2=$X$2),"",O2)</f>
        <v>41372</v>
      </c>
      <c r="O42" s="27">
        <f t="shared" ref="O42:W42" si="25">IF(OR(ISBLANK(P2),P2=$X$2),"",P2)</f>
        <v>41379</v>
      </c>
      <c r="P42" s="27">
        <f t="shared" si="25"/>
        <v>41386</v>
      </c>
      <c r="Q42" s="27">
        <f t="shared" si="25"/>
        <v>41393</v>
      </c>
      <c r="R42" s="27">
        <f t="shared" si="25"/>
        <v>41407</v>
      </c>
      <c r="S42" s="27">
        <f t="shared" si="25"/>
        <v>41414</v>
      </c>
      <c r="T42" s="27">
        <f t="shared" si="25"/>
        <v>41421</v>
      </c>
      <c r="U42" s="27">
        <f t="shared" si="25"/>
        <v>41428</v>
      </c>
      <c r="V42" s="27">
        <f t="shared" si="25"/>
        <v>41435</v>
      </c>
      <c r="W42" s="27" t="str">
        <f t="shared" si="25"/>
        <v/>
      </c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3">
      <c r="A43" s="29"/>
      <c r="B43" s="29"/>
      <c r="C43" s="99" t="s">
        <v>0</v>
      </c>
      <c r="D43" s="100"/>
      <c r="E43" s="100"/>
      <c r="F43" s="100"/>
      <c r="G43" s="100"/>
      <c r="H43" s="100"/>
      <c r="I43" s="101"/>
      <c r="J43" s="30">
        <f ca="1">MAX(H3:H38)-MIN(G3:G38)</f>
        <v>56</v>
      </c>
      <c r="K43" s="30">
        <f>SUM(K3:K39)</f>
        <v>254.75</v>
      </c>
      <c r="L43" s="31"/>
      <c r="M43" s="32"/>
      <c r="N43" s="68">
        <v>296</v>
      </c>
      <c r="O43" s="50">
        <f t="shared" ref="O43:U43" si="26">IF(O42="","",N43)</f>
        <v>296</v>
      </c>
      <c r="P43" s="50">
        <f t="shared" si="26"/>
        <v>296</v>
      </c>
      <c r="Q43" s="50">
        <f t="shared" si="26"/>
        <v>296</v>
      </c>
      <c r="R43" s="50">
        <f t="shared" si="26"/>
        <v>296</v>
      </c>
      <c r="S43" s="50">
        <f t="shared" si="26"/>
        <v>296</v>
      </c>
      <c r="T43" s="50">
        <f t="shared" si="26"/>
        <v>296</v>
      </c>
      <c r="U43" s="50">
        <f t="shared" si="26"/>
        <v>296</v>
      </c>
      <c r="V43" s="50"/>
      <c r="W43" s="50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3">
      <c r="A44" s="29"/>
      <c r="B44" s="29"/>
      <c r="C44" s="59" t="s">
        <v>31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34">
        <f ca="1">IF(N42="","",M44+IF(ISNA(VLOOKUP(O2,$H$2:$H$39,2,FALSE)),0,SUM(IF($H$2:$K$39=O2,$K$2:$K$39))))</f>
        <v>0</v>
      </c>
      <c r="O44" s="34">
        <f t="array" aca="1" ref="O44" ca="1">IF(O42="","",N44+IF(ISNA(VLOOKUP(P2,$H$2:$H$39,2,FALSE)),0,SUM(IF($H$2:$K$39=P2,$K$2:$K$39))))</f>
        <v>26</v>
      </c>
      <c r="P44" s="34">
        <f t="array" aca="1" ref="P44" ca="1">IF(P42="","",O44+IF(ISNA(VLOOKUP(Q2,$H$2:$H$39,2,FALSE)),0,SUM(IF($H$2:$K$39=Q2,$K$2:$K$39))))</f>
        <v>26</v>
      </c>
      <c r="Q44" s="34">
        <f t="array" aca="1" ref="Q44" ca="1">IF(Q42="","",P44+IF(ISNA(VLOOKUP(R2,$H$2:$H$39,2,FALSE)),0,SUM(IF($H$2:$K$39=R2,$K$2:$K$39))))</f>
        <v>75.75</v>
      </c>
      <c r="R44" s="34">
        <f t="array" aca="1" ref="R44" ca="1">IF(R42="","",Q44+IF(ISNA(VLOOKUP(S2,$H$2:$H$39,2,FALSE)),0,SUM(IF($H$2:$K$39=S2,$K$2:$K$39))))</f>
        <v>135.75</v>
      </c>
      <c r="S44" s="34">
        <f t="array" aca="1" ref="S44" ca="1">IF(S42="","",R44+IF(ISNA(VLOOKUP(T2,$H$2:$H$39,2,FALSE)),0,SUM(IF($H$2:$K$39=T2,$K$2:$K$39))))</f>
        <v>183.75</v>
      </c>
      <c r="T44" s="34">
        <f t="array" aca="1" ref="T44" ca="1">IF(T42="","",S44+IF(ISNA(VLOOKUP(U2,$H$2:$H$39,2,FALSE)),0,SUM(IF($H$2:$K$39=U2,$K$2:$K$39))))</f>
        <v>220.75</v>
      </c>
      <c r="U44" s="34">
        <f t="array" aca="1" ref="U44" ca="1">IF(U42="","",T44+IF(ISNA(VLOOKUP(V2,$H$2:$H$39,2,FALSE)),0,SUM(IF($H$2:$K$39=V2,$K$2:$K$39))))</f>
        <v>254.75</v>
      </c>
      <c r="V44" s="34"/>
      <c r="W44" s="34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3">
      <c r="A45" s="18"/>
      <c r="B45" s="18"/>
      <c r="C45" s="61" t="s">
        <v>15</v>
      </c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5">
        <v>0</v>
      </c>
      <c r="O45" s="6">
        <f>SUMIFS($K$3:$K$39,P3:P39,"=X")</f>
        <v>26</v>
      </c>
      <c r="P45" s="6">
        <f>SUMIFS($K$3:$K$39,Q3:Q39,"=X")</f>
        <v>26</v>
      </c>
      <c r="Q45" s="6">
        <f>SUMIFS($K$3:$K$39,R3:R39,"=X")</f>
        <v>26</v>
      </c>
      <c r="R45" s="6">
        <f>SUMIFS($K$3:$K$39,S3:S39,"=X")</f>
        <v>26</v>
      </c>
      <c r="S45" s="6"/>
      <c r="T45" s="6"/>
      <c r="U45" s="6"/>
      <c r="V45" s="6"/>
      <c r="W45" s="6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3">
      <c r="A46" s="18"/>
      <c r="B46" s="18"/>
      <c r="C46" s="63" t="s">
        <v>32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66">
        <v>0</v>
      </c>
      <c r="O46" s="6">
        <f>SUM(O3:O39)+N46</f>
        <v>31.75</v>
      </c>
      <c r="P46" s="6">
        <f>SUM(P3:P39)+O46</f>
        <v>31.75</v>
      </c>
      <c r="Q46" s="6">
        <f>SUM(Q3:Q39)+P46</f>
        <v>31.75</v>
      </c>
      <c r="R46" s="6">
        <f>SUM(R3:R39)+Q46</f>
        <v>31.75</v>
      </c>
      <c r="S46" s="6"/>
      <c r="T46" s="6"/>
      <c r="U46" s="6"/>
      <c r="V46" s="6"/>
      <c r="W46" s="6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3">
      <c r="A47" s="18"/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35"/>
      <c r="M47" s="35"/>
      <c r="N47" s="35"/>
      <c r="O47" s="36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3">
      <c r="A48" s="18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35"/>
      <c r="M48" s="91" t="s">
        <v>19</v>
      </c>
      <c r="N48" s="92"/>
      <c r="O48" s="20" t="s">
        <v>18</v>
      </c>
      <c r="P48" s="21"/>
      <c r="Q48" s="21"/>
      <c r="R48" s="21"/>
      <c r="S48" s="21"/>
      <c r="T48" s="21"/>
      <c r="U48" s="21"/>
      <c r="V48" s="21"/>
      <c r="W48" s="21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44.4" x14ac:dyDescent="0.3">
      <c r="A49" s="18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35"/>
      <c r="M49" s="23" t="s">
        <v>5</v>
      </c>
      <c r="N49" s="23" t="s">
        <v>7</v>
      </c>
      <c r="O49" s="27">
        <f>O2</f>
        <v>41372</v>
      </c>
      <c r="P49" s="39">
        <f t="shared" ref="P49:V49" si="27">P2</f>
        <v>41379</v>
      </c>
      <c r="Q49" s="39">
        <f t="shared" si="27"/>
        <v>41386</v>
      </c>
      <c r="R49" s="39">
        <f t="shared" si="27"/>
        <v>41393</v>
      </c>
      <c r="S49" s="39">
        <f t="shared" si="27"/>
        <v>41407</v>
      </c>
      <c r="T49" s="39">
        <f t="shared" si="27"/>
        <v>41414</v>
      </c>
      <c r="U49" s="39">
        <f t="shared" si="27"/>
        <v>41421</v>
      </c>
      <c r="V49" s="39">
        <f t="shared" si="27"/>
        <v>41428</v>
      </c>
      <c r="W49" s="39"/>
      <c r="X49" s="23" t="s">
        <v>13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3">
      <c r="A50" s="18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35"/>
      <c r="M50" s="49" t="s">
        <v>104</v>
      </c>
      <c r="N50" s="37">
        <f>SUM(O50:CG50)</f>
        <v>0</v>
      </c>
      <c r="O50" s="37">
        <f t="shared" ref="O50:W51" si="28">SUMIF($F$3:$F$39,$M50,O$3:O$39)</f>
        <v>0</v>
      </c>
      <c r="P50" s="37">
        <f t="shared" si="28"/>
        <v>0</v>
      </c>
      <c r="Q50" s="37">
        <f t="shared" si="28"/>
        <v>0</v>
      </c>
      <c r="R50" s="37">
        <f t="shared" si="28"/>
        <v>0</v>
      </c>
      <c r="S50" s="37">
        <f t="shared" si="28"/>
        <v>0</v>
      </c>
      <c r="T50" s="37">
        <f t="shared" si="28"/>
        <v>0</v>
      </c>
      <c r="U50" s="37">
        <f t="shared" si="28"/>
        <v>0</v>
      </c>
      <c r="V50" s="37">
        <f t="shared" si="28"/>
        <v>0</v>
      </c>
      <c r="W50" s="37">
        <f t="shared" si="28"/>
        <v>0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3">
      <c r="A51" s="18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35"/>
      <c r="M51" s="49" t="s">
        <v>105</v>
      </c>
      <c r="N51" s="37">
        <f>SUM(O51:CG51)</f>
        <v>0</v>
      </c>
      <c r="O51" s="37">
        <f t="shared" si="28"/>
        <v>0</v>
      </c>
      <c r="P51" s="37">
        <f t="shared" si="28"/>
        <v>0</v>
      </c>
      <c r="Q51" s="37">
        <f t="shared" si="28"/>
        <v>0</v>
      </c>
      <c r="R51" s="37">
        <f t="shared" si="28"/>
        <v>0</v>
      </c>
      <c r="S51" s="37">
        <f t="shared" si="28"/>
        <v>0</v>
      </c>
      <c r="T51" s="37">
        <f t="shared" si="28"/>
        <v>0</v>
      </c>
      <c r="U51" s="37">
        <f t="shared" si="28"/>
        <v>0</v>
      </c>
      <c r="V51" s="37">
        <f t="shared" si="28"/>
        <v>0</v>
      </c>
      <c r="W51" s="37">
        <f t="shared" si="28"/>
        <v>0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x14ac:dyDescent="0.3">
      <c r="A52" s="18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35"/>
      <c r="M52" s="49" t="s">
        <v>106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3">
      <c r="A53" s="18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35"/>
      <c r="M53" s="49" t="s">
        <v>108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x14ac:dyDescent="0.3">
      <c r="A54" s="18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35"/>
      <c r="M54" s="49" t="s">
        <v>112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x14ac:dyDescent="0.3">
      <c r="A55" s="18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35"/>
      <c r="M55" s="49" t="s">
        <v>108</v>
      </c>
      <c r="N55" s="37">
        <v>0</v>
      </c>
      <c r="O55" s="37">
        <v>0</v>
      </c>
      <c r="P55" s="37">
        <v>0</v>
      </c>
      <c r="Q55" s="37">
        <v>0</v>
      </c>
      <c r="R55" s="37">
        <v>0</v>
      </c>
      <c r="S55" s="37">
        <v>0</v>
      </c>
      <c r="T55" s="37">
        <v>0</v>
      </c>
      <c r="U55" s="37">
        <v>0</v>
      </c>
      <c r="V55" s="37">
        <v>0</v>
      </c>
      <c r="W55" s="37">
        <v>0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x14ac:dyDescent="0.3">
      <c r="A56" s="18"/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35"/>
      <c r="M56" s="49" t="s">
        <v>107</v>
      </c>
      <c r="N56" s="37">
        <f>SUM(O56:CG56)</f>
        <v>0</v>
      </c>
      <c r="O56" s="37">
        <f t="shared" ref="O56:V57" si="29">SUMIF($F$3:$F$39,$M56,O$3:O$39)</f>
        <v>0</v>
      </c>
      <c r="P56" s="37">
        <f t="shared" si="29"/>
        <v>0</v>
      </c>
      <c r="Q56" s="37">
        <f t="shared" si="29"/>
        <v>0</v>
      </c>
      <c r="R56" s="37">
        <f t="shared" si="29"/>
        <v>0</v>
      </c>
      <c r="S56" s="37">
        <f t="shared" si="29"/>
        <v>0</v>
      </c>
      <c r="T56" s="37">
        <f t="shared" si="29"/>
        <v>0</v>
      </c>
      <c r="U56" s="37">
        <f t="shared" si="29"/>
        <v>0</v>
      </c>
      <c r="V56" s="37">
        <f t="shared" si="29"/>
        <v>0</v>
      </c>
      <c r="W56" s="37">
        <v>0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3">
      <c r="A57" s="18"/>
      <c r="B57" s="18"/>
      <c r="C57" s="19"/>
      <c r="D57" s="19"/>
      <c r="E57" s="19"/>
      <c r="F57" s="19"/>
      <c r="G57" s="19"/>
      <c r="H57" s="19"/>
      <c r="I57" s="57"/>
      <c r="J57" s="19"/>
      <c r="K57" s="19"/>
      <c r="L57" s="35"/>
      <c r="M57" s="49"/>
      <c r="N57" s="37">
        <f>SUM(O57:CG57)</f>
        <v>0</v>
      </c>
      <c r="O57" s="37">
        <f t="shared" si="29"/>
        <v>0</v>
      </c>
      <c r="P57" s="37">
        <f t="shared" si="29"/>
        <v>0</v>
      </c>
      <c r="Q57" s="37">
        <f t="shared" si="29"/>
        <v>0</v>
      </c>
      <c r="R57" s="37">
        <f t="shared" si="29"/>
        <v>0</v>
      </c>
      <c r="S57" s="37">
        <f t="shared" si="29"/>
        <v>0</v>
      </c>
      <c r="T57" s="37">
        <f t="shared" si="29"/>
        <v>0</v>
      </c>
      <c r="U57" s="37">
        <f t="shared" si="29"/>
        <v>0</v>
      </c>
      <c r="V57" s="37">
        <f t="shared" si="29"/>
        <v>0</v>
      </c>
      <c r="W57" s="37">
        <f>SUMIF($F$3:$F$39,$M57,W$3:W$39)</f>
        <v>0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3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47" t="s">
        <v>20</v>
      </c>
      <c r="N58" s="48">
        <f>SUM(N50:N57)</f>
        <v>0</v>
      </c>
      <c r="O58" s="48">
        <f t="shared" ref="O58:W58" si="30">SUM(O50:O57)</f>
        <v>0</v>
      </c>
      <c r="P58" s="48">
        <f t="shared" si="30"/>
        <v>0</v>
      </c>
      <c r="Q58" s="48">
        <f t="shared" si="30"/>
        <v>0</v>
      </c>
      <c r="R58" s="48">
        <f t="shared" si="30"/>
        <v>0</v>
      </c>
      <c r="S58" s="48">
        <f t="shared" si="30"/>
        <v>0</v>
      </c>
      <c r="T58" s="48">
        <f t="shared" si="30"/>
        <v>0</v>
      </c>
      <c r="U58" s="48">
        <f t="shared" si="30"/>
        <v>0</v>
      </c>
      <c r="V58" s="48">
        <f t="shared" si="30"/>
        <v>0</v>
      </c>
      <c r="W58" s="48">
        <f t="shared" si="30"/>
        <v>0</v>
      </c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3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35"/>
      <c r="N59" s="35"/>
      <c r="O59" s="36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3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35"/>
      <c r="N60" s="35"/>
      <c r="O60" s="36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3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35"/>
      <c r="N61" s="35"/>
      <c r="O61" s="36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3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35"/>
      <c r="N62" s="35"/>
      <c r="O62" s="36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3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58" t="e">
        <f>MATCH(R2,Y2:AC2,0)</f>
        <v>#N/A</v>
      </c>
      <c r="N63" s="35"/>
      <c r="O63" s="36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3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35"/>
      <c r="N64" s="35"/>
      <c r="O64" s="36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3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35"/>
      <c r="N65" s="35"/>
      <c r="O65" s="36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3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35"/>
      <c r="N66" s="35"/>
      <c r="O66" s="36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3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3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35"/>
      <c r="N68" s="35"/>
      <c r="O68" s="36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3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3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3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48:N48"/>
    <mergeCell ref="G1:K1"/>
    <mergeCell ref="L1:N1"/>
    <mergeCell ref="C43:I43"/>
    <mergeCell ref="I41:J41"/>
  </mergeCells>
  <conditionalFormatting sqref="L3:M39">
    <cfRule type="containsBlanks" priority="65" stopIfTrue="1">
      <formula>LEN(TRIM(L3))=0</formula>
    </cfRule>
  </conditionalFormatting>
  <conditionalFormatting sqref="M13:M3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3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3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43:W43">
    <cfRule type="expression" dxfId="12" priority="145">
      <formula>O43=N$43</formula>
    </cfRule>
  </conditionalFormatting>
  <conditionalFormatting sqref="O45:W45">
    <cfRule type="cellIs" dxfId="11" priority="22" operator="greaterThan">
      <formula>0</formula>
    </cfRule>
  </conditionalFormatting>
  <conditionalFormatting sqref="O46:W46">
    <cfRule type="cellIs" dxfId="10" priority="21" operator="greaterThan">
      <formula>0</formula>
    </cfRule>
  </conditionalFormatting>
  <conditionalFormatting sqref="G3:H39">
    <cfRule type="expression" dxfId="9" priority="11">
      <formula>FormulaInCell</formula>
    </cfRule>
  </conditionalFormatting>
  <conditionalFormatting sqref="O3:W39">
    <cfRule type="cellIs" dxfId="8" priority="18" operator="equal">
      <formula>"X"</formula>
    </cfRule>
    <cfRule type="cellIs" dxfId="7" priority="19" operator="greaterThan">
      <formula>0</formula>
    </cfRule>
    <cfRule type="expression" dxfId="6" priority="20">
      <formula>AND(O$2&gt;=$G3,O$2&lt;$H3,ISNUMBER(O3))</formula>
    </cfRule>
    <cfRule type="expression" dxfId="5" priority="23">
      <formula>AND(O$2&gt;=$G3,O$2&lt;$H3)</formula>
    </cfRule>
    <cfRule type="expression" dxfId="4" priority="24">
      <formula>AND(ISNUMBER(O3))</formula>
    </cfRule>
  </conditionalFormatting>
  <conditionalFormatting sqref="O49:W49 O2:W2">
    <cfRule type="expression" dxfId="3" priority="6">
      <formula>O2&gt;MAX($H$3:$H$39)</formula>
    </cfRule>
  </conditionalFormatting>
  <conditionalFormatting sqref="N42:W42">
    <cfRule type="expression" dxfId="2" priority="4">
      <formula>N42&gt;MAX($H$3:$H$39)</formula>
    </cfRule>
  </conditionalFormatting>
  <conditionalFormatting sqref="O40:W40">
    <cfRule type="cellIs" priority="1" stopIfTrue="1" operator="equal">
      <formula>0</formula>
    </cfRule>
    <cfRule type="cellIs" dxfId="1" priority="2" operator="lessThan">
      <formula>$K$41</formula>
    </cfRule>
    <cfRule type="cellIs" dxfId="0" priority="3" operator="greaterThan">
      <formula>$K$41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3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4.4" x14ac:dyDescent="0.3"/>
  <cols>
    <col min="1" max="8" width="10" customWidth="1"/>
  </cols>
  <sheetData>
    <row r="1" spans="1:19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João Martins</cp:lastModifiedBy>
  <dcterms:created xsi:type="dcterms:W3CDTF">2009-04-24T00:02:24Z</dcterms:created>
  <dcterms:modified xsi:type="dcterms:W3CDTF">2013-04-15T19:42:13Z</dcterms:modified>
</cp:coreProperties>
</file>