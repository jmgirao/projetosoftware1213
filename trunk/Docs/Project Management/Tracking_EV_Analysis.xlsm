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J40" i="2" l="1"/>
  <c r="O51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L38" i="2" a="1"/>
  <c r="L38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7" i="2" a="1"/>
  <c r="L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6" i="2" l="1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Q15" i="2" s="1"/>
  <c r="P16" i="2"/>
  <c r="P31" i="2"/>
  <c r="S31" i="2" s="1"/>
  <c r="T31" i="2" s="1"/>
  <c r="U31" i="2" s="1"/>
  <c r="V31" i="2" s="1"/>
  <c r="W31" i="2" s="1"/>
  <c r="P32" i="2"/>
  <c r="Q32" i="2" s="1"/>
  <c r="R32" i="2" s="1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N42" i="2" l="1"/>
  <c r="T14" i="2"/>
  <c r="T3" i="2"/>
  <c r="W12" i="2"/>
  <c r="W37" i="2"/>
  <c r="W13" i="2"/>
  <c r="N57" i="2"/>
  <c r="Q39" i="2"/>
  <c r="R39" i="2" s="1"/>
  <c r="K43" i="2"/>
  <c r="S39" i="2" l="1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W14" i="2" l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40" i="2" s="1"/>
  <c r="V56" i="2"/>
  <c r="U51" i="2"/>
  <c r="U58" i="2" s="1"/>
  <c r="V50" i="2" l="1"/>
  <c r="W38" i="2"/>
  <c r="W40" i="2" s="1"/>
  <c r="N14" i="2"/>
  <c r="V51" i="2"/>
  <c r="V58" i="2" l="1"/>
  <c r="W50" i="2"/>
  <c r="N38" i="2"/>
  <c r="W51" i="2"/>
  <c r="W58" i="2" l="1"/>
  <c r="N56" i="2"/>
  <c r="N31" i="2"/>
  <c r="N3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U42" i="2"/>
  <c r="U43" i="2" s="1"/>
  <c r="V49" i="2"/>
  <c r="G13" i="2" l="1"/>
  <c r="V42" i="2"/>
  <c r="K41" i="2"/>
  <c r="G16" i="2" l="1"/>
  <c r="G32" i="2" l="1"/>
  <c r="G34" i="2" l="1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<sst xmlns="http://schemas.openxmlformats.org/spreadsheetml/2006/main" count="213" uniqueCount="123">
  <si>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</si>
  <si>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</si>
  <si>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</si>
  <si>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</si>
  <si>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</si>
  <si>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</si>
  <si>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</si>
  <si>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</si>
  <si>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</si>
  <si>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</si>
  <si>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</si>
  <si>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</si>
  <si>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</si>
  <si>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</si>
  <si>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</si>
  <si>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</si>
  <si>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</si>
  <si>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</si>
  <si>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</si>
  <si>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</si>
  <si>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</si>
  <si>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</si>
  <si>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</si>
  <si>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</si>
  <si>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</si>
  <si>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</si>
  <si>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</si>
  <si>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</si>
  <si>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</si>
  <si>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</si>
  <si>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</si>
  <si>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</si>
  <si>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</si>
  <si>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</si>
  <si>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</si>
  <si>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</si>
  <si>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</si>
  <si>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</si>
  <si>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</si>
  <si>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</si>
  <si>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</si>
  <si>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</si>
  <si>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</si>
  <si>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</si>
  <si>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</si>
  <si>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</si>
  <si>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</si>
  <si>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</si>
  <si>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</si>
  <si>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</si>
  <si>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</si>
  <si>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</si>
  <si>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</si>
  <si>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</si>
  <si>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</si>
  <si>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</si>
  <si>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</si>
  <si>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</si>
  <si>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</si>
  <si>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</si>
  <si>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</si>
  <si>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</si>
  <si>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</si>
  <si>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</si>
  <si>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</si>
  <si>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</si>
  <si>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</si>
  <si>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</si>
  <si>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</si>
  <si>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</si>
  <si>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</si>
  <si>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</si>
  <si>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</si>
  <si>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</si>
  <si>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</si>
  <si>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</si>
  <si>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</si>
  <si>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</si>
  <si>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</si>
  <si>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</si>
  <si>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</si>
  <si>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</si>
  <si>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</si>
  <si>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</si>
  <si>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</si>
  <si>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</si>
  <si>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</si>
  <si>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</si>
  <si>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</si>
  <si>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</si>
  <si>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</si>
  <si>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</si>
  <si>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</si>
  <si>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</si>
  <si>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</si>
  <si>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</si>
  <si>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</si>
  <si>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</si>
  <si>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</si>
  <si>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</si>
  <si>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</si>
  <si>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</si>
  <si>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</si>
  <si>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</si>
  <si>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</si>
  <si>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</si>
  <si>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</si>
  <si>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</si>
  <si>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</si>
  <si>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</si>
  <si>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</si>
  <si>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</si>
  <si>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</si>
  <si>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CM; DJ; FB; JG; JM; MO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</si>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</sst>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  <xf numFmtId="0" fontId="3" fillId="0" borderId="1" xfId="0" applyFont="1" applyBorder="1" applyAlignment="1" applyProtection="1">
      <alignment horizontal="center" wrapText="1"/>
      <protection locked="0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27.75</c:v>
                </c:pt>
                <c:pt idx="4">
                  <c:v>50.75</c:v>
                </c:pt>
                <c:pt idx="5">
                  <c:v>66.75</c:v>
                </c:pt>
                <c:pt idx="6">
                  <c:v>101.75</c:v>
                </c:pt>
                <c:pt idx="7">
                  <c:v>101.75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79248"/>
        <c:axId val="188094784"/>
      </c:lineChart>
      <c:catAx>
        <c:axId val="18787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8094784"/>
        <c:crosses val="autoZero"/>
        <c:auto val="0"/>
        <c:lblAlgn val="ctr"/>
        <c:lblOffset val="100"/>
        <c:noMultiLvlLbl val="0"/>
      </c:catAx>
      <c:valAx>
        <c:axId val="1880947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7879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N46" sqref="N4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22.140625" style="40" customWidth="1"/>
    <col min="6" max="6" width="10.285156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2.25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103" t="s">
        <v>113</v>
      </c>
      <c r="G3" s="45">
        <v>41372</v>
      </c>
      <c r="H3" s="45">
        <v>41379</v>
      </c>
      <c r="I3" s="46"/>
      <c r="J3" s="43">
        <v>1</v>
      </c>
      <c r="K3" s="3">
        <v>2</v>
      </c>
      <c r="L3" s="55" t="str">
        <f t="array" ref="L3">IF(ISNA(INDEX($O$2:$DA$2,1,MATCH(1,IF($O3:$DM3,1),0))),"",INDEX($O$2:$DA$2,1,MATCH(1,IF($O3:$DM3,1),0)))</f>
        <v/>
      </c>
      <c r="M3" s="55" t="str">
        <f t="shared" ref="M3:M39" si="1">IF(ISNA(MATCH("X",O3:W3,0)),"",INDEX($O$2:$X$2,1,MATCH("X",O3:W3,0)-1))</f>
        <v/>
      </c>
      <c r="N3" s="56">
        <f t="shared" ref="N3:N39" si="2">SUM(O3:CG3)</f>
        <v>0</v>
      </c>
      <c r="O3" s="51"/>
      <c r="P3" s="51"/>
      <c r="Q3" s="51" t="str">
        <f t="shared" ref="Q3:W39" si="3">IF(ISNUMBER(P3)," ",IF(P3="X","X"," "))</f>
        <v xml:space="preserve"> </v>
      </c>
      <c r="R3" s="51" t="str">
        <f t="shared" si="3"/>
        <v xml:space="preserve"> </v>
      </c>
      <c r="S3" s="51" t="str">
        <f t="shared" ref="S3:T39" si="4">IF(ISNUMBER(R3)," ",IF(R3="X","X"," "))</f>
        <v xml:space="preserve"> </v>
      </c>
      <c r="T3" s="51" t="str">
        <f t="shared" si="4"/>
        <v xml:space="preserve"> </v>
      </c>
      <c r="U3" s="51" t="str">
        <f t="shared" ref="U3:U39" si="5">IF(ISNUMBER(T3)," ",IF(T3="X","X"," "))</f>
        <v xml:space="preserve"> </v>
      </c>
      <c r="V3" s="51" t="str">
        <f t="shared" si="3"/>
        <v xml:space="preserve"> </v>
      </c>
      <c r="W3" s="51" t="str">
        <f t="shared" si="3"/>
        <v xml:space="preserve"> 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103" t="s">
        <v>114</v>
      </c>
      <c r="G4" s="45">
        <v>41372</v>
      </c>
      <c r="H4" s="45">
        <v>41379</v>
      </c>
      <c r="I4" s="77">
        <v>1</v>
      </c>
      <c r="J4" s="43">
        <v>1</v>
      </c>
      <c r="K4" s="3">
        <v>5</v>
      </c>
      <c r="L4" s="55" t="str">
        <f t="array" ref="L4">IF(ISNA(INDEX($O$2:$DA$2,1,MATCH(1,IF($O4:$DM4,1),0))),"",INDEX($O$2:$DA$2,1,MATCH(1,IF($O4:$DM4,1),0)))</f>
        <v/>
      </c>
      <c r="M4" s="55" t="str">
        <f t="shared" si="1"/>
        <v/>
      </c>
      <c r="N4" s="56">
        <f t="shared" si="2"/>
        <v>0</v>
      </c>
      <c r="O4" s="51"/>
      <c r="P4" s="51"/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103" t="s">
        <v>113</v>
      </c>
      <c r="G5" s="45">
        <v>41386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2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103" t="s">
        <v>115</v>
      </c>
      <c r="G6" s="45">
        <v>41375</v>
      </c>
      <c r="H6" s="45">
        <v>41393</v>
      </c>
      <c r="I6" s="77">
        <v>1</v>
      </c>
      <c r="J6" s="43">
        <v>2</v>
      </c>
      <c r="K6" s="3">
        <v>10</v>
      </c>
      <c r="L6" s="55" t="str">
        <f t="array" ref="L6">IF(ISNA(INDEX($O$2:$DA$2,1,MATCH(1,IF($O6:$DM6,1),0))),"",INDEX($O$2:$DA$2,1,MATCH(1,IF($O6:$DM6,1),0)))</f>
        <v/>
      </c>
      <c r="M6" s="55" t="str">
        <f t="shared" si="1"/>
        <v/>
      </c>
      <c r="N6" s="56">
        <f t="shared" si="2"/>
        <v>0</v>
      </c>
      <c r="O6" s="51"/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110</v>
      </c>
      <c r="E7" s="69" t="s">
        <v>109</v>
      </c>
      <c r="F7" s="103" t="s">
        <v>116</v>
      </c>
      <c r="G7" s="45">
        <v>41380</v>
      </c>
      <c r="H7" s="45">
        <v>41393</v>
      </c>
      <c r="I7" s="77">
        <v>1</v>
      </c>
      <c r="J7" s="43">
        <v>1</v>
      </c>
      <c r="K7" s="3">
        <v>6</v>
      </c>
      <c r="L7" s="55" t="str">
        <f t="array" ref="L7">IF(ISNA(INDEX($O$2:$DA$2,1,MATCH(1,IF($O7:$DM7,1),0))),"",INDEX($O$2:$DA$2,1,MATCH(1,IF($O7:$DM7,1),0)))</f>
        <v/>
      </c>
      <c r="M7" s="55" t="str">
        <f t="shared" si="1"/>
        <v/>
      </c>
      <c r="N7" s="56">
        <f t="shared" si="2"/>
        <v>0</v>
      </c>
      <c r="O7" s="51"/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103" t="s">
        <v>113</v>
      </c>
      <c r="G8" s="45">
        <v>41386</v>
      </c>
      <c r="H8" s="45">
        <v>41393</v>
      </c>
      <c r="I8" s="77">
        <v>4</v>
      </c>
      <c r="J8" s="43">
        <v>1</v>
      </c>
      <c r="K8" s="3">
        <v>2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2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103" t="s">
        <v>113</v>
      </c>
      <c r="G9" s="45">
        <v>41393</v>
      </c>
      <c r="H9" s="45">
        <v>41407</v>
      </c>
      <c r="I9" s="77">
        <v>6</v>
      </c>
      <c r="J9" s="43">
        <v>1</v>
      </c>
      <c r="K9" s="3">
        <v>3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2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103" t="s">
        <v>117</v>
      </c>
      <c r="G10" s="45">
        <v>41393</v>
      </c>
      <c r="H10" s="45">
        <v>41407</v>
      </c>
      <c r="I10" s="77">
        <v>7</v>
      </c>
      <c r="J10" s="43">
        <v>1</v>
      </c>
      <c r="K10" s="3">
        <v>4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2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3">
        <v>9</v>
      </c>
      <c r="C11" s="74" t="s">
        <v>69</v>
      </c>
      <c r="D11" s="75" t="s">
        <v>78</v>
      </c>
      <c r="E11" s="75"/>
      <c r="F11" s="103" t="s">
        <v>118</v>
      </c>
      <c r="G11" s="83">
        <v>41393</v>
      </c>
      <c r="H11" s="83">
        <v>41407</v>
      </c>
      <c r="I11" s="77">
        <v>7</v>
      </c>
      <c r="J11" s="84">
        <v>1</v>
      </c>
      <c r="K11" s="85">
        <v>2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2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103" t="s">
        <v>119</v>
      </c>
      <c r="G12" s="76">
        <v>41386</v>
      </c>
      <c r="H12" s="76">
        <v>41393</v>
      </c>
      <c r="I12" s="77">
        <v>4</v>
      </c>
      <c r="J12" s="77">
        <v>1</v>
      </c>
      <c r="K12" s="78">
        <v>2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2"/>
        <v>0</v>
      </c>
      <c r="O12" s="81"/>
      <c r="P12" s="81"/>
      <c r="Q12" s="81"/>
      <c r="R12" s="81"/>
      <c r="S12" s="81" t="str">
        <f t="shared" si="4"/>
        <v xml:space="preserve"> </v>
      </c>
      <c r="T12" s="81" t="str">
        <f t="shared" si="4"/>
        <v xml:space="preserve"> </v>
      </c>
      <c r="U12" s="81" t="str">
        <f t="shared" si="5"/>
        <v xml:space="preserve"> </v>
      </c>
      <c r="V12" s="81" t="str">
        <f t="shared" si="3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customHeight="1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103" t="s">
        <v>113</v>
      </c>
      <c r="G13" s="45">
        <f ca="1">IF(OR(ISBLANK($G$3),ISBLANK($C13)),"",OFFSET($O$2,0,I13+MATCH(G12,$O$2:$W$2,0)-1))</f>
        <v>0</v>
      </c>
      <c r="H13" s="45">
        <v>41407</v>
      </c>
      <c r="I13" s="43">
        <v>10</v>
      </c>
      <c r="J13" s="43">
        <v>1.5</v>
      </c>
      <c r="K13" s="3">
        <v>2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2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5"/>
        <v xml:space="preserve"> </v>
      </c>
      <c r="V13" s="51" t="str">
        <f t="shared" si="3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103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2"/>
        <v>0</v>
      </c>
      <c r="O14" s="51"/>
      <c r="P14" s="51"/>
      <c r="Q14" s="51"/>
      <c r="R14" s="51"/>
      <c r="S14" s="51"/>
      <c r="T14" s="51" t="str">
        <f t="shared" si="4"/>
        <v xml:space="preserve"> </v>
      </c>
      <c r="U14" s="51" t="str">
        <f t="shared" si="5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103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2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4"/>
        <v xml:space="preserve"> </v>
      </c>
      <c r="T15" s="51" t="str">
        <f t="shared" si="4"/>
        <v xml:space="preserve"> </v>
      </c>
      <c r="U15" s="51" t="str">
        <f t="shared" si="5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103" t="s">
        <v>112</v>
      </c>
      <c r="G16" s="45">
        <f ca="1">IF(OR(ISBLANK($G$3),ISBLANK($C16)),"",OFFSET($O$2,0,I16+MATCH(G15,$O$2:$W$2,0)-1))</f>
        <v>0</v>
      </c>
      <c r="H16" s="45">
        <v>41407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2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4"/>
        <v xml:space="preserve"> </v>
      </c>
      <c r="T16" s="51" t="str">
        <f t="shared" si="4"/>
        <v xml:space="preserve"> </v>
      </c>
      <c r="U16" s="51" t="str">
        <f t="shared" si="5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103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2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103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2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103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2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103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2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103" t="s">
        <v>120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2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103" t="s">
        <v>120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2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103" t="s">
        <v>120</v>
      </c>
      <c r="G23" s="45">
        <v>41407</v>
      </c>
      <c r="H23" s="45">
        <v>41414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2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103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2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103" t="s">
        <v>120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2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103" t="s">
        <v>120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2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103" t="s">
        <v>120</v>
      </c>
      <c r="G27" s="45">
        <v>41407</v>
      </c>
      <c r="H27" s="45">
        <v>41414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2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103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2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103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2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103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2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103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2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4"/>
        <v xml:space="preserve"> </v>
      </c>
      <c r="T31" s="51" t="str">
        <f t="shared" si="4"/>
        <v xml:space="preserve"> </v>
      </c>
      <c r="U31" s="51" t="str">
        <f t="shared" si="5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103" t="s">
        <v>112</v>
      </c>
      <c r="G32" s="45">
        <f t="shared" ref="G32:G39" ca="1" si="13">IF(OR(ISBLANK($G$3),ISBLANK($C32)),"",OFFSET($O$2,0,I32+MATCH(G31,$O$2:$W$2,0)-1))</f>
        <v>0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2"/>
        <v>0</v>
      </c>
      <c r="O32" s="51"/>
      <c r="P32" s="51" t="str">
        <f t="shared" ref="P32:R32" si="14">IF(ISNUMBER(O32)," ",IF(O32="X","X"," "))</f>
        <v xml:space="preserve"> </v>
      </c>
      <c r="Q32" s="51" t="str">
        <f t="shared" si="14"/>
        <v xml:space="preserve"> </v>
      </c>
      <c r="R32" s="51" t="str">
        <f t="shared" si="14"/>
        <v xml:space="preserve"> </v>
      </c>
      <c r="S32" s="51" t="str">
        <f t="shared" si="4"/>
        <v xml:space="preserve"> </v>
      </c>
      <c r="T32" s="51" t="str">
        <f t="shared" si="4"/>
        <v xml:space="preserve"> </v>
      </c>
      <c r="U32" s="51" t="str">
        <f t="shared" si="5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customHeight="1" x14ac:dyDescent="0.2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103" t="s">
        <v>113</v>
      </c>
      <c r="G33" s="45">
        <v>41407</v>
      </c>
      <c r="H33" s="45">
        <v>41414</v>
      </c>
      <c r="I33" s="43">
        <v>10</v>
      </c>
      <c r="J33" s="43">
        <v>1</v>
      </c>
      <c r="K33" s="3">
        <v>2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2"/>
        <v>0</v>
      </c>
      <c r="O33" s="51"/>
      <c r="P33" s="51" t="str">
        <f t="shared" ref="P33:R33" si="15">IF(ISNUMBER(O33)," ",IF(O33="X","X"," "))</f>
        <v xml:space="preserve"> </v>
      </c>
      <c r="Q33" s="51" t="str">
        <f t="shared" si="15"/>
        <v xml:space="preserve"> </v>
      </c>
      <c r="R33" s="51" t="str">
        <f t="shared" si="15"/>
        <v xml:space="preserve"> </v>
      </c>
      <c r="S33" s="51" t="str">
        <f t="shared" si="4"/>
        <v xml:space="preserve"> </v>
      </c>
      <c r="T33" s="51" t="str">
        <f t="shared" si="4"/>
        <v xml:space="preserve"> </v>
      </c>
      <c r="U33" s="51" t="str">
        <f t="shared" si="5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customHeight="1" x14ac:dyDescent="0.2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103" t="s">
        <v>113</v>
      </c>
      <c r="G34" s="45">
        <f t="shared" ca="1" si="13"/>
        <v>0</v>
      </c>
      <c r="H34" s="45">
        <v>41421</v>
      </c>
      <c r="I34" s="43">
        <v>31</v>
      </c>
      <c r="J34" s="43">
        <v>1.5</v>
      </c>
      <c r="K34" s="3">
        <v>3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2"/>
        <v>0</v>
      </c>
      <c r="O34" s="51"/>
      <c r="P34" s="51" t="str">
        <f t="shared" ref="P34:R34" si="16">IF(ISNUMBER(O34)," ",IF(O34="X","X"," "))</f>
        <v xml:space="preserve"> </v>
      </c>
      <c r="Q34" s="51" t="str">
        <f t="shared" si="16"/>
        <v xml:space="preserve"> </v>
      </c>
      <c r="R34" s="51" t="str">
        <f t="shared" si="16"/>
        <v xml:space="preserve"> </v>
      </c>
      <c r="S34" s="51" t="str">
        <f t="shared" si="4"/>
        <v xml:space="preserve"> </v>
      </c>
      <c r="T34" s="51" t="str">
        <f t="shared" si="4"/>
        <v xml:space="preserve"> </v>
      </c>
      <c r="U34" s="51" t="str">
        <f t="shared" si="5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103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4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2"/>
        <v>0</v>
      </c>
      <c r="O35" s="51"/>
      <c r="P35" s="51" t="str">
        <f t="shared" ref="P35:R35" si="17">IF(ISNUMBER(O35)," ",IF(O35="X","X"," "))</f>
        <v xml:space="preserve"> </v>
      </c>
      <c r="Q35" s="51" t="str">
        <f t="shared" si="17"/>
        <v xml:space="preserve"> </v>
      </c>
      <c r="R35" s="51" t="str">
        <f t="shared" si="17"/>
        <v xml:space="preserve"> </v>
      </c>
      <c r="S35" s="51" t="str">
        <f t="shared" si="4"/>
        <v xml:space="preserve"> </v>
      </c>
      <c r="T35" s="51" t="str">
        <f t="shared" si="4"/>
        <v xml:space="preserve"> </v>
      </c>
      <c r="U35" s="51" t="str">
        <f t="shared" si="5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103" t="s">
        <v>121</v>
      </c>
      <c r="G36" s="45">
        <v>41421</v>
      </c>
      <c r="H36" s="45">
        <v>41435</v>
      </c>
      <c r="I36" s="43">
        <v>33</v>
      </c>
      <c r="J36" s="43">
        <v>2</v>
      </c>
      <c r="K36" s="3">
        <v>6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2"/>
        <v>0</v>
      </c>
      <c r="O36" s="51"/>
      <c r="P36" s="51" t="str">
        <f t="shared" ref="P36:R36" si="18">IF(ISNUMBER(O36)," ",IF(O36="X","X"," "))</f>
        <v xml:space="preserve"> </v>
      </c>
      <c r="Q36" s="51" t="str">
        <f t="shared" si="18"/>
        <v xml:space="preserve"> </v>
      </c>
      <c r="R36" s="51" t="str">
        <f t="shared" si="18"/>
        <v xml:space="preserve"> </v>
      </c>
      <c r="S36" s="51" t="str">
        <f t="shared" si="4"/>
        <v xml:space="preserve"> </v>
      </c>
      <c r="T36" s="51" t="str">
        <f t="shared" si="4"/>
        <v xml:space="preserve"> </v>
      </c>
      <c r="U36" s="51" t="str">
        <f t="shared" si="5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103" t="s">
        <v>122</v>
      </c>
      <c r="G37" s="45">
        <v>41421</v>
      </c>
      <c r="H37" s="45">
        <v>41435</v>
      </c>
      <c r="I37" s="43">
        <v>33</v>
      </c>
      <c r="J37" s="43">
        <v>2</v>
      </c>
      <c r="K37" s="3">
        <v>6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2"/>
        <v>0</v>
      </c>
      <c r="O37" s="51"/>
      <c r="P37" s="51" t="str">
        <f t="shared" ref="P37:W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4"/>
        <v xml:space="preserve"> </v>
      </c>
      <c r="T37" s="51" t="str">
        <f t="shared" si="4"/>
        <v xml:space="preserve"> </v>
      </c>
      <c r="U37" s="51" t="str">
        <f t="shared" si="5"/>
        <v xml:space="preserve"> </v>
      </c>
      <c r="V37" s="51" t="str">
        <f t="shared" si="3"/>
        <v xml:space="preserve"> </v>
      </c>
      <c r="W37" s="51" t="str">
        <f t="shared" si="1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/>
      <c r="C38" s="69"/>
      <c r="D38" s="69"/>
      <c r="E38" s="69"/>
      <c r="F38" s="17"/>
      <c r="G38" s="45" t="str">
        <f t="shared" ca="1" si="13"/>
        <v/>
      </c>
      <c r="H38" s="45" t="str">
        <f t="shared" ref="H38" ca="1" si="20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2"/>
        <v>0</v>
      </c>
      <c r="O38" s="51"/>
      <c r="P38" s="51" t="str">
        <f t="shared" ref="P38:W38" si="21">IF(ISNUMBER(O38)," ",IF(O38="X","X"," "))</f>
        <v xml:space="preserve"> </v>
      </c>
      <c r="Q38" s="51" t="str">
        <f t="shared" si="21"/>
        <v xml:space="preserve"> </v>
      </c>
      <c r="R38" s="51" t="str">
        <f t="shared" si="21"/>
        <v xml:space="preserve"> </v>
      </c>
      <c r="S38" s="51" t="str">
        <f t="shared" si="4"/>
        <v xml:space="preserve"> </v>
      </c>
      <c r="T38" s="51" t="str">
        <f t="shared" si="4"/>
        <v xml:space="preserve"> </v>
      </c>
      <c r="U38" s="51" t="str">
        <f t="shared" si="5"/>
        <v xml:space="preserve"> </v>
      </c>
      <c r="V38" s="51" t="str">
        <f t="shared" si="3"/>
        <v xml:space="preserve"> </v>
      </c>
      <c r="W38" s="51" t="str">
        <f t="shared" si="21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4"/>
      <c r="D39" s="4"/>
      <c r="E39" s="4"/>
      <c r="F39" s="17"/>
      <c r="G39" s="45" t="str">
        <f t="shared" ca="1" si="13"/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2"/>
        <v>0</v>
      </c>
      <c r="O39" s="51"/>
      <c r="P39" s="51" t="str">
        <f t="shared" ref="P39" si="22">IF(ISNUMBER(O39)," ",IF(O39="X","X"," "))</f>
        <v xml:space="preserve"> </v>
      </c>
      <c r="Q39" s="51" t="str">
        <f t="shared" ref="Q39" si="23">IF(ISNUMBER(P39)," ",IF(P39="X","X"," "))</f>
        <v xml:space="preserve"> </v>
      </c>
      <c r="R39" s="51" t="str">
        <f t="shared" ref="R39" si="24">IF(ISNUMBER(Q39)," ",IF(Q39="X","X"," "))</f>
        <v xml:space="preserve"> </v>
      </c>
      <c r="S39" s="51" t="str">
        <f t="shared" si="4"/>
        <v xml:space="preserve"> </v>
      </c>
      <c r="T39" s="51" t="str">
        <f t="shared" si="4"/>
        <v xml:space="preserve"> </v>
      </c>
      <c r="U39" s="51" t="str">
        <f t="shared" si="5"/>
        <v xml:space="preserve"> </v>
      </c>
      <c r="V39" s="51" t="str">
        <f t="shared" si="3"/>
        <v xml:space="preserve"> </v>
      </c>
      <c r="W39" s="51" t="str">
        <f t="shared" ref="W39" si="25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6">SUM(O3:O39)</f>
        <v>0</v>
      </c>
      <c r="P40" s="56">
        <f t="shared" si="26"/>
        <v>0</v>
      </c>
      <c r="Q40" s="56">
        <f t="shared" si="26"/>
        <v>0</v>
      </c>
      <c r="R40" s="56">
        <f t="shared" si="26"/>
        <v>0</v>
      </c>
      <c r="S40" s="56">
        <f t="shared" si="26"/>
        <v>0</v>
      </c>
      <c r="T40" s="56">
        <f t="shared" si="26"/>
        <v>0</v>
      </c>
      <c r="U40" s="56">
        <f t="shared" si="26"/>
        <v>0</v>
      </c>
      <c r="V40" s="56">
        <f t="shared" si="26"/>
        <v>0</v>
      </c>
      <c r="W40" s="56">
        <f t="shared" si="26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101" t="s">
        <v>60</v>
      </c>
      <c r="J41" s="102"/>
      <c r="K41" s="48">
        <f>K43/J40</f>
        <v>14.21875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8.75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>IF(OR(ISBLANK(O2),O2=$X$2),"",O2)</f>
        <v>41372</v>
      </c>
      <c r="O42" s="27">
        <f>IF(OR(ISBLANK(P2),P2=$X$2),"",P2)</f>
        <v>41379</v>
      </c>
      <c r="P42" s="27">
        <f>IF(OR(ISBLANK(Q2),Q2=$X$2),"",Q2)</f>
        <v>41386</v>
      </c>
      <c r="Q42" s="27">
        <f>IF(OR(ISBLANK(R2),R2=$X$2),"",R2)</f>
        <v>41393</v>
      </c>
      <c r="R42" s="27">
        <f>IF(OR(ISBLANK(S2),S2=$X$2),"",S2)</f>
        <v>41407</v>
      </c>
      <c r="S42" s="27">
        <f>IF(OR(ISBLANK(T2),T2=$X$2),"",T2)</f>
        <v>41414</v>
      </c>
      <c r="T42" s="27">
        <f>IF(OR(ISBLANK(U2),U2=$X$2),"",U2)</f>
        <v>41421</v>
      </c>
      <c r="U42" s="27">
        <f>IF(OR(ISBLANK(V2),V2=$X$2),"",V2)</f>
        <v>41428</v>
      </c>
      <c r="V42" s="27">
        <f>IF(OR(ISBLANK(W2),W2=$X$2),"",W2)</f>
        <v>41435</v>
      </c>
      <c r="W42" s="27" t="str">
        <f>IF(OR(ISBLANK(X2),X2=$X$2),"",X2)</f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29"/>
      <c r="C43" s="98" t="s">
        <v>0</v>
      </c>
      <c r="D43" s="99"/>
      <c r="E43" s="99"/>
      <c r="F43" s="99"/>
      <c r="G43" s="99"/>
      <c r="H43" s="99"/>
      <c r="I43" s="100"/>
      <c r="J43" s="30">
        <f ca="1">MAX(H3:H38)-MIN(G3:G38)</f>
        <v>41435</v>
      </c>
      <c r="K43" s="30">
        <f>SUM(K3:K39)</f>
        <v>113.75</v>
      </c>
      <c r="L43" s="31"/>
      <c r="M43" s="32"/>
      <c r="N43" s="68">
        <v>140</v>
      </c>
      <c r="O43" s="50">
        <f t="shared" ref="O43:U43" si="27">IF(O42="","",N43)</f>
        <v>140</v>
      </c>
      <c r="P43" s="50">
        <f t="shared" si="27"/>
        <v>140</v>
      </c>
      <c r="Q43" s="50">
        <f t="shared" si="27"/>
        <v>140</v>
      </c>
      <c r="R43" s="50">
        <f t="shared" si="27"/>
        <v>140</v>
      </c>
      <c r="S43" s="50">
        <f t="shared" si="27"/>
        <v>140</v>
      </c>
      <c r="T43" s="50">
        <f t="shared" si="27"/>
        <v>140</v>
      </c>
      <c r="U43" s="50">
        <f t="shared" si="27"/>
        <v>140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7</v>
      </c>
      <c r="P44" s="34">
        <f t="array" aca="1" ref="P44" ca="1">IF(P42="","",O44+IF(ISNA(VLOOKUP(Q2,$H$2:$H$39,2,FALSE)),0,SUM(IF($H$2:$K$39=Q2,$K$2:$K$39))))</f>
        <v>7</v>
      </c>
      <c r="Q44" s="34">
        <f t="array" aca="1" ref="Q44" ca="1">IF(Q42="","",P44+IF(ISNA(VLOOKUP(R2,$H$2:$H$39,2,FALSE)),0,SUM(IF($H$2:$K$39=R2,$K$2:$K$39))))</f>
        <v>27.75</v>
      </c>
      <c r="R44" s="34">
        <f t="array" aca="1" ref="R44" ca="1">IF(R42="","",Q44+IF(ISNA(VLOOKUP(S2,$H$2:$H$39,2,FALSE)),0,SUM(IF($H$2:$K$39=S2,$K$2:$K$39))))</f>
        <v>50.75</v>
      </c>
      <c r="S44" s="34">
        <f t="array" aca="1" ref="S44" ca="1">IF(S42="","",R44+IF(ISNA(VLOOKUP(T2,$H$2:$H$39,2,FALSE)),0,SUM(IF($H$2:$K$39=T2,$K$2:$K$39))))</f>
        <v>66.75</v>
      </c>
      <c r="T44" s="34">
        <f t="array" aca="1" ref="T44" ca="1">IF(T42="","",S44+IF(ISNA(VLOOKUP(U2,$H$2:$H$39,2,FALSE)),0,SUM(IF($H$2:$K$39=U2,$K$2:$K$39))))</f>
        <v>101.75</v>
      </c>
      <c r="U44" s="34">
        <f t="array" aca="1" ref="U44" ca="1">IF(U42="","",T44+IF(ISNA(VLOOKUP(V2,$H$2:$H$39,2,FALSE)),0,SUM(IF($H$2:$K$39=V2,$K$2:$K$39))))</f>
        <v>101.75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0</v>
      </c>
      <c r="P45" s="6">
        <f>SUMIFS($K$3:$K$39,Q3:Q39,"=X")</f>
        <v>0</v>
      </c>
      <c r="Q45" s="6">
        <f>SUMIFS($K$3:$K$39,R3:R39,"=X")</f>
        <v>0</v>
      </c>
      <c r="R45" s="6">
        <f>SUMIFS($K$3:$K$39,S3:S39,"=X")</f>
        <v>0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0</v>
      </c>
      <c r="P46" s="6">
        <f>SUM(P3:P39)+O46</f>
        <v>0</v>
      </c>
      <c r="Q46" s="6">
        <f>SUM(Q3:Q39)+P46</f>
        <v>0</v>
      </c>
      <c r="R46" s="6">
        <f>SUM(R3:R39)+Q46</f>
        <v>0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0" t="s">
        <v>19</v>
      </c>
      <c r="N48" s="91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8.75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>O2</f>
        <v>41372</v>
      </c>
      <c r="P49" s="39">
        <f>P2</f>
        <v>41379</v>
      </c>
      <c r="Q49" s="39">
        <f>Q2</f>
        <v>41386</v>
      </c>
      <c r="R49" s="39">
        <f>R2</f>
        <v>41393</v>
      </c>
      <c r="S49" s="39">
        <f>S2</f>
        <v>41407</v>
      </c>
      <c r="T49" s="39">
        <f>T2</f>
        <v>41414</v>
      </c>
      <c r="U49" s="39">
        <f>U2</f>
        <v>41421</v>
      </c>
      <c r="V49" s="39">
        <f>V2</f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>SUMIF($F$3:$F$39,$M50,O$3:O$39)</f>
        <v>0</v>
      </c>
      <c r="P50" s="37">
        <f>SUMIF($F$3:$F$39,$M50,P$3:P$39)</f>
        <v>0</v>
      </c>
      <c r="Q50" s="37">
        <f>SUMIF($F$3:$F$39,$M50,Q$3:Q$39)</f>
        <v>0</v>
      </c>
      <c r="R50" s="37">
        <f>SUMIF($F$3:$F$39,$M50,R$3:R$39)</f>
        <v>0</v>
      </c>
      <c r="S50" s="37">
        <f>SUMIF($F$3:$F$39,$M50,S$3:S$39)</f>
        <v>0</v>
      </c>
      <c r="T50" s="37">
        <f>SUMIF($F$3:$F$39,$M50,T$3:T$39)</f>
        <v>0</v>
      </c>
      <c r="U50" s="37">
        <f>SUMIF($F$3:$F$39,$M50,U$3:U$39)</f>
        <v>0</v>
      </c>
      <c r="V50" s="37">
        <f>SUMIF($F$3:$F$39,$M50,V$3:V$39)</f>
        <v>0</v>
      </c>
      <c r="W50" s="37">
        <f>SUMIF($F$3:$F$39,$M50,W$3:W$39)</f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>SUMIF($F$3:$F$39,$M51,O$3:O$39)</f>
        <v>0</v>
      </c>
      <c r="P51" s="37">
        <f>SUMIF($F$3:$F$39,$M51,P$3:P$39)</f>
        <v>0</v>
      </c>
      <c r="Q51" s="37">
        <f>SUMIF($F$3:$F$39,$M51,Q$3:Q$39)</f>
        <v>0</v>
      </c>
      <c r="R51" s="37">
        <f>SUMIF($F$3:$F$39,$M51,R$3:R$39)</f>
        <v>0</v>
      </c>
      <c r="S51" s="37">
        <f>SUMIF($F$3:$F$39,$M51,S$3:S$39)</f>
        <v>0</v>
      </c>
      <c r="T51" s="37">
        <f>SUMIF($F$3:$F$39,$M51,T$3:T$39)</f>
        <v>0</v>
      </c>
      <c r="U51" s="37">
        <f>SUMIF($F$3:$F$39,$M51,U$3:U$39)</f>
        <v>0</v>
      </c>
      <c r="V51" s="37">
        <f>SUMIF($F$3:$F$39,$M51,V$3:V$39)</f>
        <v>0</v>
      </c>
      <c r="W51" s="37">
        <f>SUMIF($F$3:$F$39,$M51,W$3:W$39)</f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>SUMIF($F$3:$F$39,$M56,O$3:O$39)</f>
        <v>0</v>
      </c>
      <c r="P56" s="37">
        <f>SUMIF($F$3:$F$39,$M56,P$3:P$39)</f>
        <v>0</v>
      </c>
      <c r="Q56" s="37">
        <f>SUMIF($F$3:$F$39,$M56,Q$3:Q$39)</f>
        <v>0</v>
      </c>
      <c r="R56" s="37">
        <f>SUMIF($F$3:$F$39,$M56,R$3:R$39)</f>
        <v>0</v>
      </c>
      <c r="S56" s="37">
        <f>SUMIF($F$3:$F$39,$M56,S$3:S$39)</f>
        <v>0</v>
      </c>
      <c r="T56" s="37">
        <f>SUMIF($F$3:$F$39,$M56,T$3:T$39)</f>
        <v>0</v>
      </c>
      <c r="U56" s="37">
        <f>SUMIF($F$3:$F$39,$M56,U$3:U$39)</f>
        <v>0</v>
      </c>
      <c r="V56" s="37">
        <f>SUMIF($F$3:$F$39,$M56,V$3:V$39)</f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>SUMIF($F$3:$F$39,$M57,O$3:O$39)</f>
        <v>0</v>
      </c>
      <c r="P57" s="37">
        <f>SUMIF($F$3:$F$39,$M57,P$3:P$39)</f>
        <v>0</v>
      </c>
      <c r="Q57" s="37">
        <f>SUMIF($F$3:$F$39,$M57,Q$3:Q$39)</f>
        <v>0</v>
      </c>
      <c r="R57" s="37">
        <f>SUMIF($F$3:$F$39,$M57,R$3:R$39)</f>
        <v>0</v>
      </c>
      <c r="S57" s="37">
        <f>SUMIF($F$3:$F$39,$M57,S$3:S$39)</f>
        <v>0</v>
      </c>
      <c r="T57" s="37">
        <f>SUMIF($F$3:$F$39,$M57,T$3:T$39)</f>
        <v>0</v>
      </c>
      <c r="U57" s="37">
        <f>SUMIF($F$3:$F$39,$M57,U$3:U$39)</f>
        <v>0</v>
      </c>
      <c r="V57" s="37">
        <f>SUMIF($F$3:$F$39,$M57,V$3:V$39)</f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28">SUM(O50:O57)</f>
        <v>0</v>
      </c>
      <c r="P58" s="48">
        <f t="shared" si="28"/>
        <v>0</v>
      </c>
      <c r="Q58" s="48">
        <f t="shared" si="28"/>
        <v>0</v>
      </c>
      <c r="R58" s="48">
        <f t="shared" si="28"/>
        <v>0</v>
      </c>
      <c r="S58" s="48">
        <f t="shared" si="28"/>
        <v>0</v>
      </c>
      <c r="T58" s="48">
        <f t="shared" si="28"/>
        <v>0</v>
      </c>
      <c r="U58" s="48">
        <f t="shared" si="28"/>
        <v>0</v>
      </c>
      <c r="V58" s="48">
        <f t="shared" si="28"/>
        <v>0</v>
      </c>
      <c r="W58" s="48">
        <f t="shared" si="28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29" priority="117" operator="greaterThan">
      <formula>#REF!</formula>
    </cfRule>
    <cfRule type="cellIs" dxfId="28" priority="118" operator="lessThan">
      <formula>#REF!</formula>
    </cfRule>
  </conditionalFormatting>
  <conditionalFormatting sqref="L3:M39">
    <cfRule type="cellIs" dxfId="27" priority="124" operator="greaterThan">
      <formula>G3</formula>
    </cfRule>
    <cfRule type="cellIs" dxfId="26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25" priority="129" operator="lessThan">
      <formula>K3</formula>
    </cfRule>
    <cfRule type="cellIs" dxfId="24" priority="130" operator="greaterThan">
      <formula>K3</formula>
    </cfRule>
  </conditionalFormatting>
  <conditionalFormatting sqref="O43:W43">
    <cfRule type="expression" dxfId="23" priority="145">
      <formula>O43=N$43</formula>
    </cfRule>
  </conditionalFormatting>
  <conditionalFormatting sqref="O45:W45">
    <cfRule type="cellIs" dxfId="22" priority="22" operator="greaterThan">
      <formula>0</formula>
    </cfRule>
  </conditionalFormatting>
  <conditionalFormatting sqref="O46:W46">
    <cfRule type="cellIs" dxfId="21" priority="21" operator="greaterThan">
      <formula>0</formula>
    </cfRule>
  </conditionalFormatting>
  <conditionalFormatting sqref="G3:H39">
    <cfRule type="expression" dxfId="20" priority="11">
      <formula>FormulaInCell</formula>
    </cfRule>
  </conditionalFormatting>
  <conditionalFormatting sqref="O3:W39">
    <cfRule type="cellIs" dxfId="19" priority="18" operator="equal">
      <formula>"X"</formula>
    </cfRule>
    <cfRule type="cellIs" dxfId="18" priority="19" operator="greaterThan">
      <formula>0</formula>
    </cfRule>
    <cfRule type="expression" dxfId="17" priority="20">
      <formula>AND(O$2&gt;=$G3,O$2&lt;$H3,ISNUMBER(O3))</formula>
    </cfRule>
    <cfRule type="expression" dxfId="16" priority="23">
      <formula>AND(O$2&gt;=$G3,O$2&lt;$H3)</formula>
    </cfRule>
    <cfRule type="expression" dxfId="15" priority="24">
      <formula>AND(ISNUMBER(O3))</formula>
    </cfRule>
  </conditionalFormatting>
  <conditionalFormatting sqref="O49:W49 O2:W2">
    <cfRule type="expression" dxfId="14" priority="6">
      <formula>O2&gt;MAX($H$3:$H$39)</formula>
    </cfRule>
  </conditionalFormatting>
  <conditionalFormatting sqref="N42:W42">
    <cfRule type="expression" dxfId="13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2" priority="2" operator="lessThan">
      <formula>$K$41</formula>
    </cfRule>
    <cfRule type="cellIs" dxfId="11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G12:G27 G28:H39 H3:H27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2013-04-11T16:53:32Z</dcterms:modified>
</cp:coreProperties>
</file>