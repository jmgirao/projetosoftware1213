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Mário\ISEC\Mestrado\PS\Trabalho Prático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S35" i="2" l="1"/>
  <c r="S21" i="2"/>
  <c r="S45" i="2" l="1"/>
  <c r="S48" i="2"/>
  <c r="S7" i="2" l="1"/>
  <c r="J63" i="2" l="1"/>
  <c r="K63" i="2"/>
  <c r="R43" i="2"/>
  <c r="R10" i="2" l="1"/>
  <c r="R14" i="2" l="1"/>
  <c r="R12" i="2"/>
  <c r="R7" i="2" l="1"/>
  <c r="R11" i="2" l="1"/>
  <c r="P48" i="2"/>
  <c r="Q48" i="2" s="1"/>
  <c r="R48" i="2" s="1"/>
  <c r="P49" i="2"/>
  <c r="P50" i="2"/>
  <c r="L33" i="2" a="1"/>
  <c r="L33" i="2" s="1"/>
  <c r="M33" i="2"/>
  <c r="N33" i="2"/>
  <c r="L34" i="2" a="1"/>
  <c r="L34" i="2" s="1"/>
  <c r="M34" i="2"/>
  <c r="N34" i="2"/>
  <c r="P53" i="2"/>
  <c r="Q53" i="2" s="1"/>
  <c r="R53" i="2" s="1"/>
  <c r="S53" i="2" s="1"/>
  <c r="T53" i="2" s="1"/>
  <c r="U53" i="2" s="1"/>
  <c r="V53" i="2" s="1"/>
  <c r="W53" i="2" s="1"/>
  <c r="P54" i="2"/>
  <c r="P55" i="2"/>
  <c r="P52" i="2"/>
  <c r="P51" i="2"/>
  <c r="Q42" i="2"/>
  <c r="P41" i="2"/>
  <c r="O40" i="2"/>
  <c r="R8" i="2"/>
  <c r="Q55" i="2" l="1"/>
  <c r="R55" i="2" s="1"/>
  <c r="S55" i="2" s="1"/>
  <c r="T55" i="2" s="1"/>
  <c r="U55" i="2" s="1"/>
  <c r="V55" i="2" s="1"/>
  <c r="W55" i="2" s="1"/>
  <c r="O60" i="2"/>
  <c r="O66" i="2"/>
  <c r="Q52" i="2"/>
  <c r="R52" i="2" s="1"/>
  <c r="S52" i="2" s="1"/>
  <c r="T52" i="2" s="1"/>
  <c r="U52" i="2" s="1"/>
  <c r="V52" i="2" s="1"/>
  <c r="W52" i="2" s="1"/>
  <c r="Q54" i="2"/>
  <c r="Q50" i="2"/>
  <c r="R50" i="2" s="1"/>
  <c r="S50" i="2" s="1"/>
  <c r="T50" i="2" s="1"/>
  <c r="U50" i="2" s="1"/>
  <c r="V50" i="2" s="1"/>
  <c r="W50" i="2" s="1"/>
  <c r="Q49" i="2"/>
  <c r="R49" i="2" s="1"/>
  <c r="S49" i="2" s="1"/>
  <c r="T49" i="2" s="1"/>
  <c r="U49" i="2" s="1"/>
  <c r="V49" i="2" s="1"/>
  <c r="W49" i="2" s="1"/>
  <c r="N49" i="2"/>
  <c r="N53" i="2"/>
  <c r="U48" i="2"/>
  <c r="V48" i="2" s="1"/>
  <c r="W48" i="2" s="1"/>
  <c r="L53" i="2" a="1"/>
  <c r="L53" i="2" s="1"/>
  <c r="M53" i="2"/>
  <c r="Q51" i="2"/>
  <c r="R51" i="2" s="1"/>
  <c r="S51" i="2" s="1"/>
  <c r="T51" i="2" s="1"/>
  <c r="U51" i="2" s="1"/>
  <c r="V51" i="2" s="1"/>
  <c r="W51" i="2" s="1"/>
  <c r="Q8" i="2"/>
  <c r="N50" i="2" l="1"/>
  <c r="N52" i="2"/>
  <c r="N51" i="2"/>
  <c r="L55" i="2" a="1"/>
  <c r="L55" i="2" s="1"/>
  <c r="R54" i="2"/>
  <c r="M55" i="2"/>
  <c r="N55" i="2"/>
  <c r="N48" i="2"/>
  <c r="M52" i="2"/>
  <c r="M49" i="2"/>
  <c r="L51" i="2" a="1"/>
  <c r="L51" i="2" s="1"/>
  <c r="L52" i="2" a="1"/>
  <c r="L52" i="2" s="1"/>
  <c r="M51" i="2"/>
  <c r="L50" i="2" a="1"/>
  <c r="L50" i="2" s="1"/>
  <c r="M50" i="2"/>
  <c r="L49" i="2" a="1"/>
  <c r="L49" i="2" s="1"/>
  <c r="P42" i="2"/>
  <c r="P43" i="2"/>
  <c r="P44" i="2"/>
  <c r="P45" i="2"/>
  <c r="Q45" i="2" s="1"/>
  <c r="P46" i="2"/>
  <c r="P47" i="2"/>
  <c r="P56" i="2"/>
  <c r="P57" i="2"/>
  <c r="P58" i="2"/>
  <c r="P59" i="2"/>
  <c r="Q58" i="2" l="1"/>
  <c r="R58" i="2" s="1"/>
  <c r="S58" i="2" s="1"/>
  <c r="T58" i="2" s="1"/>
  <c r="U58" i="2" s="1"/>
  <c r="V58" i="2" s="1"/>
  <c r="W58" i="2" s="1"/>
  <c r="S42" i="2"/>
  <c r="T42" i="2" s="1"/>
  <c r="U42" i="2" s="1"/>
  <c r="V42" i="2" s="1"/>
  <c r="Q47" i="2"/>
  <c r="R47" i="2" s="1"/>
  <c r="S47" i="2" s="1"/>
  <c r="T47" i="2" s="1"/>
  <c r="U47" i="2" s="1"/>
  <c r="V47" i="2" s="1"/>
  <c r="W47" i="2" s="1"/>
  <c r="N47" i="2"/>
  <c r="Q46" i="2"/>
  <c r="R46" i="2" s="1"/>
  <c r="S46" i="2" s="1"/>
  <c r="T46" i="2" s="1"/>
  <c r="U46" i="2" s="1"/>
  <c r="V46" i="2" s="1"/>
  <c r="W46" i="2" s="1"/>
  <c r="M46" i="2" s="1"/>
  <c r="S54" i="2"/>
  <c r="Q43" i="2"/>
  <c r="T43" i="2" s="1"/>
  <c r="U43" i="2" s="1"/>
  <c r="Q57" i="2"/>
  <c r="R57" i="2" s="1"/>
  <c r="Q59" i="2"/>
  <c r="R59" i="2" s="1"/>
  <c r="S59" i="2" s="1"/>
  <c r="T59" i="2" s="1"/>
  <c r="U59" i="2" s="1"/>
  <c r="V59" i="2" s="1"/>
  <c r="W59" i="2" s="1"/>
  <c r="M47" i="2"/>
  <c r="R45" i="2"/>
  <c r="T45" i="2" s="1"/>
  <c r="Q56" i="2"/>
  <c r="Q44" i="2"/>
  <c r="O71" i="2"/>
  <c r="M17" i="2"/>
  <c r="M18" i="2"/>
  <c r="M19" i="2"/>
  <c r="M20" i="2"/>
  <c r="M21" i="2"/>
  <c r="M22" i="2"/>
  <c r="M23" i="2"/>
  <c r="M24" i="2"/>
  <c r="M26" i="2"/>
  <c r="M27" i="2"/>
  <c r="M28" i="2"/>
  <c r="M29" i="2"/>
  <c r="M30" i="2"/>
  <c r="L24" i="2" a="1"/>
  <c r="L24" i="2" s="1"/>
  <c r="L26" i="2" a="1"/>
  <c r="L26" i="2" s="1"/>
  <c r="L27" i="2" a="1"/>
  <c r="L27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46" i="2" l="1"/>
  <c r="N42" i="2"/>
  <c r="N59" i="2"/>
  <c r="S57" i="2"/>
  <c r="T57" i="2" s="1"/>
  <c r="U57" i="2" s="1"/>
  <c r="V57" i="2" s="1"/>
  <c r="W57" i="2" s="1"/>
  <c r="L58" i="2" a="1"/>
  <c r="L58" i="2" s="1"/>
  <c r="M58" i="2"/>
  <c r="T54" i="2"/>
  <c r="N58" i="2"/>
  <c r="U45" i="2"/>
  <c r="V45" i="2" s="1"/>
  <c r="W45" i="2" s="1"/>
  <c r="N45" i="2" s="1"/>
  <c r="V43" i="2"/>
  <c r="M59" i="2"/>
  <c r="L59" i="2" a="1"/>
  <c r="L59" i="2" s="1"/>
  <c r="L57" i="2" a="1"/>
  <c r="L57" i="2" s="1"/>
  <c r="R44" i="2"/>
  <c r="R56" i="2"/>
  <c r="M57" i="2"/>
  <c r="N7" i="2"/>
  <c r="Q3" i="2"/>
  <c r="N4" i="2"/>
  <c r="N5" i="2"/>
  <c r="N6" i="2"/>
  <c r="N8" i="2"/>
  <c r="N9" i="2"/>
  <c r="N10" i="2"/>
  <c r="N11" i="2"/>
  <c r="L9" i="2" a="1"/>
  <c r="L9" i="2" s="1"/>
  <c r="U54" i="2" l="1"/>
  <c r="M45" i="2"/>
  <c r="N57" i="2"/>
  <c r="W43" i="2"/>
  <c r="N43" i="2" s="1"/>
  <c r="S44" i="2"/>
  <c r="T44" i="2" s="1"/>
  <c r="U44" i="2" s="1"/>
  <c r="V44" i="2" s="1"/>
  <c r="W44" i="2" s="1"/>
  <c r="N44" i="2" s="1"/>
  <c r="S56" i="2"/>
  <c r="R3" i="2"/>
  <c r="W62" i="2"/>
  <c r="U13" i="2"/>
  <c r="V13" i="2" s="1"/>
  <c r="T15" i="2"/>
  <c r="U15" i="2" s="1"/>
  <c r="V15" i="2" s="1"/>
  <c r="W15" i="2" s="1"/>
  <c r="T16" i="2"/>
  <c r="U16" i="2" s="1"/>
  <c r="V16" i="2" s="1"/>
  <c r="W16" i="2" s="1"/>
  <c r="O2" i="2"/>
  <c r="P15" i="2"/>
  <c r="P16" i="2"/>
  <c r="P31" i="2"/>
  <c r="P32" i="2"/>
  <c r="P35" i="2"/>
  <c r="P36" i="2"/>
  <c r="P37" i="2"/>
  <c r="P38" i="2"/>
  <c r="P39" i="2"/>
  <c r="O77" i="2"/>
  <c r="P77" i="2"/>
  <c r="Q77" i="2"/>
  <c r="R77" i="2"/>
  <c r="S77" i="2"/>
  <c r="T77" i="2"/>
  <c r="U77" i="2"/>
  <c r="V77" i="2"/>
  <c r="W77" i="2"/>
  <c r="S3" i="2" l="1"/>
  <c r="T3" i="2" s="1"/>
  <c r="N36" i="2"/>
  <c r="Q39" i="2"/>
  <c r="R39" i="2" s="1"/>
  <c r="S39" i="2" s="1"/>
  <c r="T39" i="2" s="1"/>
  <c r="U39" i="2" s="1"/>
  <c r="V39" i="2" s="1"/>
  <c r="O65" i="2"/>
  <c r="P60" i="2"/>
  <c r="P66" i="2"/>
  <c r="V54" i="2"/>
  <c r="W54" i="2" s="1"/>
  <c r="N54" i="2"/>
  <c r="U12" i="2"/>
  <c r="M44" i="2"/>
  <c r="L46" i="2" a="1"/>
  <c r="L46" i="2" s="1"/>
  <c r="T56" i="2"/>
  <c r="Q32" i="2"/>
  <c r="R32" i="2" s="1"/>
  <c r="S32" i="2" s="1"/>
  <c r="T32" i="2" s="1"/>
  <c r="U32" i="2" s="1"/>
  <c r="V32" i="2" s="1"/>
  <c r="W32" i="2" s="1"/>
  <c r="M16" i="2"/>
  <c r="Q15" i="2"/>
  <c r="Q38" i="2"/>
  <c r="R38" i="2" s="1"/>
  <c r="S38" i="2" s="1"/>
  <c r="T38" i="2" s="1"/>
  <c r="U38" i="2" s="1"/>
  <c r="V38" i="2" s="1"/>
  <c r="W38" i="2" s="1"/>
  <c r="T31" i="2"/>
  <c r="U31" i="2" s="1"/>
  <c r="V31" i="2" s="1"/>
  <c r="W31" i="2" s="1"/>
  <c r="Q37" i="2"/>
  <c r="R37" i="2" s="1"/>
  <c r="S37" i="2" s="1"/>
  <c r="T37" i="2" s="1"/>
  <c r="U37" i="2" s="1"/>
  <c r="V37" i="2" s="1"/>
  <c r="W37" i="2" s="1"/>
  <c r="L7" i="2" a="1"/>
  <c r="L7" i="2" s="1"/>
  <c r="L6" i="2" a="1"/>
  <c r="L6" i="2" s="1"/>
  <c r="L4" i="2" a="1"/>
  <c r="L4" i="2" s="1"/>
  <c r="Q35" i="2"/>
  <c r="R35" i="2" s="1"/>
  <c r="T35" i="2" s="1"/>
  <c r="U35" i="2" s="1"/>
  <c r="V35" i="2" s="1"/>
  <c r="W35" i="2" s="1"/>
  <c r="Q36" i="2"/>
  <c r="R36" i="2" s="1"/>
  <c r="S36" i="2" s="1"/>
  <c r="T36" i="2" s="1"/>
  <c r="U36" i="2" s="1"/>
  <c r="V36" i="2" s="1"/>
  <c r="W36" i="2" s="1"/>
  <c r="N62" i="2"/>
  <c r="N64" i="2" s="1" a="1"/>
  <c r="N64" i="2" s="1"/>
  <c r="W39" i="2"/>
  <c r="M39" i="2" s="1"/>
  <c r="N77" i="2"/>
  <c r="R41" i="2"/>
  <c r="N38" i="2" l="1"/>
  <c r="N37" i="2"/>
  <c r="M54" i="2"/>
  <c r="N39" i="2"/>
  <c r="N35" i="2"/>
  <c r="M15" i="2"/>
  <c r="L54" i="2" a="1"/>
  <c r="L54" i="2" s="1"/>
  <c r="V12" i="2"/>
  <c r="L35" i="2" a="1"/>
  <c r="L35" i="2" s="1"/>
  <c r="L38" i="2" a="1"/>
  <c r="L38" i="2" s="1"/>
  <c r="L36" i="2" a="1"/>
  <c r="L36" i="2" s="1"/>
  <c r="M37" i="2"/>
  <c r="M35" i="2"/>
  <c r="M31" i="2"/>
  <c r="U56" i="2"/>
  <c r="L32" i="2" a="1"/>
  <c r="L32" i="2" s="1"/>
  <c r="L39" i="2" a="1"/>
  <c r="L39" i="2" s="1"/>
  <c r="M32" i="2"/>
  <c r="M36" i="2"/>
  <c r="M38" i="2"/>
  <c r="S41" i="2"/>
  <c r="T41" i="2" s="1"/>
  <c r="U41" i="2" s="1"/>
  <c r="V41" i="2" s="1"/>
  <c r="U14" i="2"/>
  <c r="U3" i="2"/>
  <c r="N41" i="2" l="1"/>
  <c r="V56" i="2"/>
  <c r="W56" i="2" s="1"/>
  <c r="N56" i="2" s="1"/>
  <c r="V14" i="2"/>
  <c r="V3" i="2"/>
  <c r="M56" i="2" l="1"/>
  <c r="L56" i="2" a="1"/>
  <c r="L56" i="2" s="1"/>
  <c r="W14" i="2"/>
  <c r="N3" i="2"/>
  <c r="O70" i="2"/>
  <c r="O76" i="2"/>
  <c r="W60" i="2" l="1"/>
  <c r="Q40" i="2"/>
  <c r="Q76" i="2"/>
  <c r="P70" i="2"/>
  <c r="O78" i="2"/>
  <c r="N13" i="2"/>
  <c r="N32" i="2"/>
  <c r="N15" i="2"/>
  <c r="P71" i="2"/>
  <c r="P76" i="2"/>
  <c r="Q66" i="2" l="1"/>
  <c r="Q60" i="2"/>
  <c r="P65" i="2"/>
  <c r="Q70" i="2"/>
  <c r="R40" i="2"/>
  <c r="P78" i="2"/>
  <c r="R76" i="2"/>
  <c r="Q71" i="2"/>
  <c r="R70" i="2"/>
  <c r="N16" i="2"/>
  <c r="R66" i="2" l="1"/>
  <c r="R60" i="2"/>
  <c r="Q65" i="2"/>
  <c r="Q78" i="2"/>
  <c r="S40" i="2"/>
  <c r="S76" i="2"/>
  <c r="R71" i="2"/>
  <c r="R78" i="2" s="1"/>
  <c r="R65" i="2" l="1"/>
  <c r="S60" i="2"/>
  <c r="S70" i="2"/>
  <c r="T40" i="2"/>
  <c r="T60" i="2" s="1"/>
  <c r="S71" i="2"/>
  <c r="T76" i="2"/>
  <c r="S78" i="2" l="1"/>
  <c r="T70" i="2"/>
  <c r="U40" i="2"/>
  <c r="U60" i="2" s="1"/>
  <c r="U70" i="2"/>
  <c r="U76" i="2"/>
  <c r="T71" i="2"/>
  <c r="T78" i="2" l="1"/>
  <c r="V40" i="2"/>
  <c r="V76" i="2"/>
  <c r="U71" i="2"/>
  <c r="U78" i="2" s="1"/>
  <c r="V60" i="2" l="1"/>
  <c r="N40" i="2"/>
  <c r="V70" i="2"/>
  <c r="N14" i="2"/>
  <c r="V71" i="2"/>
  <c r="L40" i="2" l="1" a="1"/>
  <c r="L40" i="2" s="1"/>
  <c r="M40" i="2"/>
  <c r="V78" i="2"/>
  <c r="W7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L41" i="2" a="1"/>
  <c r="L41" i="2" s="1"/>
  <c r="O62" i="2"/>
  <c r="O64" i="2" s="1" a="1"/>
  <c r="O64" i="2" s="1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Q69" i="2"/>
  <c r="P63" i="2" l="1"/>
  <c r="P64" i="2" a="1"/>
  <c r="P64" i="2" s="1"/>
  <c r="Q64" i="2" s="1" a="1"/>
  <c r="Q64" i="2" s="1"/>
  <c r="M9" i="2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R69" i="2"/>
  <c r="L17" i="2" l="1" a="1"/>
  <c r="L17" i="2" s="1"/>
  <c r="L21" i="2" a="1"/>
  <c r="L21" i="2" s="1"/>
  <c r="L23" i="2" a="1"/>
  <c r="L23" i="2" s="1"/>
  <c r="L18" i="2" a="1"/>
  <c r="L18" i="2" s="1"/>
  <c r="L22" i="2" a="1"/>
  <c r="L22" i="2" s="1"/>
  <c r="L20" i="2" a="1"/>
  <c r="L20" i="2" s="1"/>
  <c r="L19" i="2" a="1"/>
  <c r="L19" i="2" s="1"/>
  <c r="L37" i="2" a="1"/>
  <c r="L37" i="2" s="1"/>
  <c r="L31" i="2" a="1"/>
  <c r="L31" i="2" s="1"/>
  <c r="M14" i="2"/>
  <c r="L16" i="2" a="1"/>
  <c r="L16" i="2" s="1"/>
  <c r="M48" i="2"/>
  <c r="L48" i="2" a="1"/>
  <c r="L48" i="2" s="1"/>
  <c r="L25" i="2" a="1"/>
  <c r="L25" i="2" s="1"/>
  <c r="M7" i="2"/>
  <c r="L28" i="2" a="1"/>
  <c r="L28" i="2" s="1"/>
  <c r="M25" i="2"/>
  <c r="L29" i="2" a="1"/>
  <c r="L29" i="2" s="1"/>
  <c r="L47" i="2" a="1"/>
  <c r="L47" i="2" s="1"/>
  <c r="M13" i="2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R64" i="2" l="1" a="1"/>
  <c r="R64" i="2" s="1"/>
  <c r="S64" i="2" s="1" a="1"/>
  <c r="S64" i="2" s="1"/>
  <c r="S62" i="2"/>
  <c r="S63" i="2" s="1"/>
  <c r="T69" i="2"/>
  <c r="U2" i="2"/>
  <c r="T62" i="2" l="1"/>
  <c r="T63" i="2" s="1"/>
  <c r="V2" i="2"/>
  <c r="L15" i="2" a="1"/>
  <c r="L15" i="2" s="1"/>
  <c r="U69" i="2"/>
  <c r="T64" i="2" l="1" a="1"/>
  <c r="T64" i="2" s="1"/>
  <c r="U64" i="2" s="1" a="1"/>
  <c r="U64" i="2" s="1"/>
  <c r="W2" i="2"/>
  <c r="J60" i="2" s="1"/>
  <c r="U62" i="2"/>
  <c r="U63" i="2" s="1"/>
  <c r="V69" i="2"/>
  <c r="V62" i="2" l="1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<sst xmlns="http://schemas.openxmlformats.org/spreadsheetml/2006/main" count="258" uniqueCount="132">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</sst>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98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8548728"/>
        <c:axId val="248545592"/>
      </c:lineChart>
      <c:catAx>
        <c:axId val="248548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48545592"/>
        <c:crosses val="autoZero"/>
        <c:auto val="0"/>
        <c:lblAlgn val="ctr"/>
        <c:lblOffset val="100"/>
        <c:noMultiLvlLbl val="0"/>
      </c:catAx>
      <c:valAx>
        <c:axId val="24854559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8548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G31" activePane="bottomRight" state="frozen"/>
      <selection pane="topRight" activeCell="F1" sqref="F1"/>
      <selection pane="bottomLeft" activeCell="A3" sqref="A3"/>
      <selection pane="bottomRight" activeCell="S36" sqref="S36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41407</v>
      </c>
      <c r="N7" s="56">
        <f t="shared" si="3"/>
        <v>35.25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 t="s">
        <v>112</v>
      </c>
      <c r="U7" s="51" t="s">
        <v>112</v>
      </c>
      <c r="V7" s="51" t="s">
        <v>112</v>
      </c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>
        <f t="shared" si="1"/>
        <v>41407</v>
      </c>
      <c r="N14" s="56">
        <f t="shared" si="3"/>
        <v>5</v>
      </c>
      <c r="O14" s="51"/>
      <c r="P14" s="51"/>
      <c r="Q14" s="51"/>
      <c r="R14" s="51">
        <f>2.5</f>
        <v>2.5</v>
      </c>
      <c r="S14" s="51">
        <v>2.5</v>
      </c>
      <c r="T14" s="51" t="s">
        <v>112</v>
      </c>
      <c r="U14" s="51" t="str">
        <f t="shared" ref="T14:W16" si="5">IF(ISNUMBER(T14)," ",IF(T14="X","X"," "))</f>
        <v>X</v>
      </c>
      <c r="V14" s="51" t="str">
        <f t="shared" si="5"/>
        <v>X</v>
      </c>
      <c r="W14" s="51" t="str">
        <f t="shared" si="5"/>
        <v>X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>
        <f t="array" ref="L15">IF(ISNA(INDEX($O$2:$DA$2,1,MATCH(1,IF($O15:$DM15,1),0))),"",INDEX($O$2:$DA$2,1,MATCH(1,IF($O15:$DM15,1),0)))</f>
        <v>41407</v>
      </c>
      <c r="M15" s="55" t="str">
        <f t="shared" si="1"/>
        <v/>
      </c>
      <c r="N15" s="56">
        <f t="shared" si="3"/>
        <v>1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>
        <v>1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>
        <f t="array" ref="L16">IF(ISNA(INDEX($O$2:$DA$2,1,MATCH(1,IF($O16:$DM16,1),0))),"",INDEX($O$2:$DA$2,1,MATCH(1,IF($O16:$DM16,1),0)))</f>
        <v>41407</v>
      </c>
      <c r="M16" s="55" t="str">
        <f t="shared" si="1"/>
        <v/>
      </c>
      <c r="N16" s="56">
        <f t="shared" si="3"/>
        <v>1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>
        <v>1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>
        <f t="array" ref="L17">IF(ISNA(INDEX($O$2:$DA$2,1,MATCH(1,IF($O17:$DM17,1),0))),"",INDEX($O$2:$DA$2,1,MATCH(1,IF($O17:$DM17,1),0)))</f>
        <v>41407</v>
      </c>
      <c r="M17" s="55" t="str">
        <f t="shared" si="1"/>
        <v/>
      </c>
      <c r="N17" s="56">
        <f t="shared" si="3"/>
        <v>0.25</v>
      </c>
      <c r="O17" s="51"/>
      <c r="P17" s="51"/>
      <c r="Q17" s="51"/>
      <c r="R17" s="51"/>
      <c r="S17" s="51">
        <v>0.25</v>
      </c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 t="str">
        <f t="shared" si="1"/>
        <v/>
      </c>
      <c r="N18" s="56">
        <f t="shared" si="3"/>
        <v>0.75</v>
      </c>
      <c r="O18" s="51"/>
      <c r="P18" s="51"/>
      <c r="Q18" s="51"/>
      <c r="R18" s="51"/>
      <c r="S18" s="51">
        <v>0.75</v>
      </c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 t="str">
        <f t="shared" si="1"/>
        <v/>
      </c>
      <c r="N19" s="56">
        <f t="shared" si="3"/>
        <v>3</v>
      </c>
      <c r="O19" s="51"/>
      <c r="P19" s="51"/>
      <c r="Q19" s="51"/>
      <c r="R19" s="51"/>
      <c r="S19" s="51">
        <v>3</v>
      </c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 t="str">
        <f t="shared" si="1"/>
        <v/>
      </c>
      <c r="N20" s="56">
        <f t="shared" si="3"/>
        <v>0.75</v>
      </c>
      <c r="O20" s="51"/>
      <c r="P20" s="51"/>
      <c r="Q20" s="51"/>
      <c r="R20" s="51"/>
      <c r="S20" s="51">
        <v>0.75</v>
      </c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>
        <f t="array" ref="L21">IF(ISNA(INDEX($O$2:$DA$2,1,MATCH(1,IF($O21:$DM21,1),0))),"",INDEX($O$2:$DA$2,1,MATCH(1,IF($O21:$DM21,1),0)))</f>
        <v>41407</v>
      </c>
      <c r="M21" s="55" t="str">
        <f t="shared" si="1"/>
        <v/>
      </c>
      <c r="N21" s="56">
        <f t="shared" si="3"/>
        <v>1.5</v>
      </c>
      <c r="O21" s="51"/>
      <c r="P21" s="51"/>
      <c r="Q21" s="51"/>
      <c r="R21" s="51"/>
      <c r="S21" s="51">
        <f>0.5+1</f>
        <v>1.5</v>
      </c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>
        <f t="array" ref="L22">IF(ISNA(INDEX($O$2:$DA$2,1,MATCH(1,IF($O22:$DM22,1),0))),"",INDEX($O$2:$DA$2,1,MATCH(1,IF($O22:$DM22,1),0)))</f>
        <v>41407</v>
      </c>
      <c r="M22" s="55" t="str">
        <f t="shared" si="1"/>
        <v/>
      </c>
      <c r="N22" s="56">
        <f t="shared" si="3"/>
        <v>2</v>
      </c>
      <c r="O22" s="51"/>
      <c r="P22" s="51"/>
      <c r="Q22" s="51"/>
      <c r="R22" s="51"/>
      <c r="S22" s="51">
        <v>2</v>
      </c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>
        <f t="array" ref="L23">IF(ISNA(INDEX($O$2:$DA$2,1,MATCH(1,IF($O23:$DM23,1),0))),"",INDEX($O$2:$DA$2,1,MATCH(1,IF($O23:$DM23,1),0)))</f>
        <v>41407</v>
      </c>
      <c r="M23" s="55" t="str">
        <f t="shared" si="1"/>
        <v/>
      </c>
      <c r="N23" s="56">
        <f t="shared" si="3"/>
        <v>0.25</v>
      </c>
      <c r="O23" s="51"/>
      <c r="P23" s="51"/>
      <c r="Q23" s="51"/>
      <c r="R23" s="51"/>
      <c r="S23" s="51">
        <v>0.25</v>
      </c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41407</v>
      </c>
      <c r="N25" s="56">
        <f t="shared" si="3"/>
        <v>0.45</v>
      </c>
      <c r="O25" s="51"/>
      <c r="P25" s="51"/>
      <c r="Q25" s="51"/>
      <c r="R25" s="51"/>
      <c r="S25" s="51">
        <v>0.45</v>
      </c>
      <c r="T25" s="51" t="s">
        <v>112</v>
      </c>
      <c r="U25" s="51" t="s">
        <v>112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 t="str">
        <f t="shared" si="1"/>
        <v/>
      </c>
      <c r="N28" s="56">
        <f t="shared" si="3"/>
        <v>2.5</v>
      </c>
      <c r="O28" s="51"/>
      <c r="P28" s="51"/>
      <c r="Q28" s="51"/>
      <c r="R28" s="51"/>
      <c r="S28" s="51">
        <v>2.5</v>
      </c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 t="str">
        <f t="shared" si="1"/>
        <v/>
      </c>
      <c r="N29" s="56">
        <f t="shared" si="3"/>
        <v>2.5</v>
      </c>
      <c r="O29" s="51"/>
      <c r="P29" s="51"/>
      <c r="Q29" s="51"/>
      <c r="R29" s="51"/>
      <c r="S29" s="51">
        <v>2.5</v>
      </c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 t="str">
        <f t="shared" si="1"/>
        <v/>
      </c>
      <c r="N31" s="56">
        <f t="shared" si="3"/>
        <v>0.75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 t="str">
        <f t="shared" ref="S31:W32" si="9">IF(ISNUMBER(S31)," ",IF(S31="X","X"," "))</f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 t="str">
        <f t="array" ref="L34">IF(ISNA(INDEX($O$2:$DA$2,1,MATCH(1,IF($O34:$DM34,1),0))),"",INDEX($O$2:$DA$2,1,MATCH(1,IF($O34:$DM34,1),0)))</f>
        <v/>
      </c>
      <c r="M34" s="55" t="str">
        <f t="shared" si="11"/>
        <v/>
      </c>
      <c r="N34" s="56">
        <f t="shared" si="12"/>
        <v>0</v>
      </c>
      <c r="O34" s="51"/>
      <c r="P34" s="51"/>
      <c r="Q34" s="51"/>
      <c r="R34" s="51"/>
      <c r="S34" s="51"/>
      <c r="T34" s="51"/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 t="shared" ref="M35:M47" si="13">IF(ISNA(MATCH("X",O35:W35,0)),"",INDEX($O$2:$X$2,1,MATCH("X",O35:W35,0)-1))</f>
        <v/>
      </c>
      <c r="N35" s="56">
        <f t="shared" ref="N35:N59" si="14">SUM(O35:CG35)</f>
        <v>2.25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>
        <f>1.25+1</f>
        <v>2.25</v>
      </c>
      <c r="T35" s="51" t="str">
        <f t="shared" ref="S35:W39" si="16">IF(ISNUMBER(S35)," ",IF(S35="X","X"," "))</f>
        <v xml:space="preserve"> </v>
      </c>
      <c r="U35" s="51" t="str">
        <f t="shared" si="16"/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41407</v>
      </c>
      <c r="H36" s="45">
        <v>41414</v>
      </c>
      <c r="I36" s="43">
        <v>31</v>
      </c>
      <c r="J36" s="43">
        <v>1.5</v>
      </c>
      <c r="K36" s="3">
        <v>0</v>
      </c>
      <c r="L36" s="55" t="str">
        <f t="array" ref="L36">IF(ISNA(INDEX($O$2:$DA$2,1,MATCH(1,IF($O34:$DM34,1),0))),"",INDEX($O$2:$DA$2,1,MATCH(1,IF($O34:$DM34,1),0)))</f>
        <v/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>
        <f t="array" ref="L37">IF(ISNA(INDEX($O$2:$DA$2,1,MATCH(1,IF($O35:$DM35,1),0))),"",INDEX($O$2:$DA$2,1,MATCH(1,IF($O35:$DM35,1),0)))</f>
        <v>41407</v>
      </c>
      <c r="M37" s="55" t="str">
        <f t="shared" si="13"/>
        <v/>
      </c>
      <c r="N37" s="56">
        <f t="shared" ref="N37:N58" si="18">SUM(O37:CG37)</f>
        <v>0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0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 t="str">
        <f t="shared" si="13"/>
        <v/>
      </c>
      <c r="N45" s="56">
        <f t="shared" si="18"/>
        <v>2.25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0.5+0.5+0.25+0.25+0.5+0.25</f>
        <v>2.25</v>
      </c>
      <c r="T45" s="51" t="str">
        <f t="shared" si="23"/>
        <v xml:space="preserve"> </v>
      </c>
      <c r="U45" s="51" t="str">
        <f t="shared" si="23"/>
        <v xml:space="preserve"> </v>
      </c>
      <c r="V45" s="51" t="str">
        <f t="shared" si="23"/>
        <v xml:space="preserve"> </v>
      </c>
      <c r="W45" s="51" t="str">
        <f t="shared" si="27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8"/>
        <v>0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 t="str">
        <f t="shared" si="23"/>
        <v xml:space="preserve"> </v>
      </c>
      <c r="U46" s="51" t="str">
        <f t="shared" si="23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 t="str">
        <f t="shared" si="23"/>
        <v xml:space="preserve"> </v>
      </c>
      <c r="T47" s="51" t="str">
        <f t="shared" si="23"/>
        <v xml:space="preserve"> </v>
      </c>
      <c r="U47" s="51" t="str">
        <f t="shared" si="23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 t="str">
        <f t="array" ref="L49">IF(ISNA(INDEX($O$2:$DA$2,1,MATCH(1,IF($O49:$DM49,1),0))),"",INDEX($O$2:$DA$2,1,MATCH(1,IF($O49:$DM49,1),0)))</f>
        <v/>
      </c>
      <c r="M49" s="55" t="str">
        <f t="shared" si="29"/>
        <v/>
      </c>
      <c r="N49" s="56">
        <f t="shared" si="18"/>
        <v>0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 t="str">
        <f t="shared" si="23"/>
        <v xml:space="preserve"> </v>
      </c>
      <c r="T49" s="51" t="str">
        <f t="shared" si="23"/>
        <v xml:space="preserve"> </v>
      </c>
      <c r="U49" s="51" t="str">
        <f t="shared" si="23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9"/>
        <v/>
      </c>
      <c r="N50" s="56">
        <f t="shared" si="18"/>
        <v>0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 t="str">
        <f t="shared" si="23"/>
        <v xml:space="preserve"> 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33.200000000000003</v>
      </c>
      <c r="T60" s="56">
        <f t="shared" si="55"/>
        <v>0</v>
      </c>
      <c r="U60" s="56">
        <f t="shared" si="55"/>
        <v>0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9.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9.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58">O2</f>
        <v>41372</v>
      </c>
      <c r="P69" s="39">
        <f t="shared" si="58"/>
        <v>41379</v>
      </c>
      <c r="Q69" s="39">
        <f t="shared" si="58"/>
        <v>41386</v>
      </c>
      <c r="R69" s="39">
        <f t="shared" si="58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149.44999999999999</v>
      </c>
      <c r="O70" s="37">
        <f t="shared" ref="O70:W71" si="59">SUMIF($F$3:$F$41,$M70,O$3:O$41)</f>
        <v>0</v>
      </c>
      <c r="P70" s="37">
        <f t="shared" si="59"/>
        <v>0</v>
      </c>
      <c r="Q70" s="37">
        <f t="shared" si="59"/>
        <v>0</v>
      </c>
      <c r="R70" s="37">
        <f t="shared" si="59"/>
        <v>0</v>
      </c>
      <c r="S70" s="37">
        <f t="shared" si="59"/>
        <v>0</v>
      </c>
      <c r="T70" s="37">
        <f t="shared" si="59"/>
        <v>0</v>
      </c>
      <c r="U70" s="37">
        <f t="shared" si="59"/>
        <v>0</v>
      </c>
      <c r="V70" s="37">
        <f t="shared" si="59"/>
        <v>0</v>
      </c>
      <c r="W70" s="37">
        <f t="shared" si="59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59"/>
        <v>0</v>
      </c>
      <c r="P71" s="37">
        <f t="shared" si="59"/>
        <v>0</v>
      </c>
      <c r="Q71" s="37">
        <f t="shared" si="59"/>
        <v>0</v>
      </c>
      <c r="R71" s="37">
        <f t="shared" si="59"/>
        <v>0</v>
      </c>
      <c r="S71" s="37">
        <f t="shared" si="59"/>
        <v>0</v>
      </c>
      <c r="T71" s="37">
        <f t="shared" si="59"/>
        <v>0</v>
      </c>
      <c r="U71" s="37">
        <f t="shared" si="59"/>
        <v>0</v>
      </c>
      <c r="V71" s="37">
        <f t="shared" si="59"/>
        <v>0</v>
      </c>
      <c r="W71" s="37">
        <f t="shared" si="59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277.75</v>
      </c>
      <c r="O76" s="37">
        <f t="shared" ref="O76:V77" si="60">SUMIF($F$3:$F$41,$M76,O$3:O$41)</f>
        <v>0</v>
      </c>
      <c r="P76" s="37">
        <f t="shared" si="60"/>
        <v>0</v>
      </c>
      <c r="Q76" s="37">
        <f t="shared" si="60"/>
        <v>0</v>
      </c>
      <c r="R76" s="37">
        <f t="shared" si="60"/>
        <v>0</v>
      </c>
      <c r="S76" s="37">
        <f t="shared" si="60"/>
        <v>0</v>
      </c>
      <c r="T76" s="37">
        <f t="shared" si="60"/>
        <v>0</v>
      </c>
      <c r="U76" s="37">
        <f t="shared" si="60"/>
        <v>0</v>
      </c>
      <c r="V76" s="37">
        <f t="shared" si="60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0"/>
        <v>0</v>
      </c>
      <c r="P77" s="37">
        <f t="shared" si="60"/>
        <v>0</v>
      </c>
      <c r="Q77" s="37">
        <f t="shared" si="60"/>
        <v>0</v>
      </c>
      <c r="R77" s="37">
        <f t="shared" si="60"/>
        <v>0</v>
      </c>
      <c r="S77" s="37">
        <f t="shared" si="60"/>
        <v>0</v>
      </c>
      <c r="T77" s="37">
        <f t="shared" si="60"/>
        <v>0</v>
      </c>
      <c r="U77" s="37">
        <f t="shared" si="60"/>
        <v>0</v>
      </c>
      <c r="V77" s="37">
        <f t="shared" si="60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427.2</v>
      </c>
      <c r="O78" s="48">
        <f t="shared" ref="O78:R78" si="61">SUM(O70:O77)</f>
        <v>0</v>
      </c>
      <c r="P78" s="48">
        <f t="shared" si="61"/>
        <v>0</v>
      </c>
      <c r="Q78" s="48">
        <f t="shared" si="61"/>
        <v>0</v>
      </c>
      <c r="R78" s="48">
        <f t="shared" si="61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Q19" sqref="Q1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Mario</cp:lastModifiedBy>
  <dcterms:created xsi:type="dcterms:W3CDTF">2009-04-24T00:02:24Z</dcterms:created>
  <dcterms:modified xsi:type="dcterms:W3CDTF">2013-05-20T09:13:29Z</dcterms:modified>
</cp:coreProperties>
</file>