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40" i="2" l="1"/>
  <c r="Q40" i="2" s="1"/>
  <c r="R40" i="2" s="1"/>
  <c r="S40" i="2" s="1"/>
  <c r="T40" i="2" s="1"/>
  <c r="U40" i="2" s="1"/>
  <c r="V40" i="2" s="1"/>
  <c r="W40" i="2" s="1"/>
  <c r="P41" i="2"/>
  <c r="Q41" i="2" s="1"/>
  <c r="R41" i="2" s="1"/>
  <c r="S41" i="2" s="1"/>
  <c r="T41" i="2" s="1"/>
  <c r="U41" i="2" s="1"/>
  <c r="V41" i="2" s="1"/>
  <c r="W41" i="2" s="1"/>
  <c r="P42" i="2"/>
  <c r="P43" i="2"/>
  <c r="Q43" i="2" s="1"/>
  <c r="P44" i="2"/>
  <c r="Q44" i="2" s="1"/>
  <c r="R44" i="2" s="1"/>
  <c r="S44" i="2" s="1"/>
  <c r="T44" i="2" s="1"/>
  <c r="U44" i="2" s="1"/>
  <c r="V44" i="2" s="1"/>
  <c r="W44" i="2" s="1"/>
  <c r="P45" i="2"/>
  <c r="Q45" i="2" s="1"/>
  <c r="R45" i="2" s="1"/>
  <c r="S45" i="2" s="1"/>
  <c r="T45" i="2" s="1"/>
  <c r="U45" i="2" s="1"/>
  <c r="V45" i="2" s="1"/>
  <c r="W45" i="2" s="1"/>
  <c r="P46" i="2"/>
  <c r="P47" i="2"/>
  <c r="Q47" i="2" s="1"/>
  <c r="P48" i="2"/>
  <c r="Q48" i="2" s="1"/>
  <c r="R48" i="2" s="1"/>
  <c r="S48" i="2" s="1"/>
  <c r="T48" i="2" s="1"/>
  <c r="U48" i="2" s="1"/>
  <c r="V48" i="2" s="1"/>
  <c r="W48" i="2" s="1"/>
  <c r="P49" i="2"/>
  <c r="Q49" i="2" l="1"/>
  <c r="R49" i="2" s="1"/>
  <c r="S49" i="2" s="1"/>
  <c r="T49" i="2" s="1"/>
  <c r="U49" i="2" s="1"/>
  <c r="V49" i="2" s="1"/>
  <c r="W49" i="2" s="1"/>
  <c r="L41" i="2" a="1"/>
  <c r="L41" i="2" s="1"/>
  <c r="L45" i="2" a="1"/>
  <c r="L45" i="2" s="1"/>
  <c r="M49" i="2"/>
  <c r="M45" i="2"/>
  <c r="M41" i="2"/>
  <c r="L48" i="2" a="1"/>
  <c r="L48" i="2" s="1"/>
  <c r="L40" i="2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L49" i="2" l="1" a="1"/>
  <c r="L49" i="2" s="1"/>
  <c r="L47" i="2" a="1"/>
  <c r="L47" i="2" s="1"/>
  <c r="N43" i="2"/>
  <c r="R42" i="2"/>
  <c r="S42" i="2" s="1"/>
  <c r="T42" i="2" s="1"/>
  <c r="U42" i="2" s="1"/>
  <c r="V42" i="2" s="1"/>
  <c r="W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L42" i="2" l="1" a="1"/>
  <c r="L42" i="2" s="1"/>
  <c r="S46" i="2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Q35" i="2"/>
  <c r="R35" i="2" s="1"/>
  <c r="S35" i="2" s="1"/>
  <c r="T35" i="2" s="1"/>
  <c r="U35" i="2" s="1"/>
  <c r="V35" i="2" s="1"/>
  <c r="W35" i="2" s="1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Q34" i="2"/>
  <c r="R34" i="2" s="1"/>
  <c r="S34" i="2" s="1"/>
  <c r="T34" i="2" s="1"/>
  <c r="U34" i="2" s="1"/>
  <c r="V34" i="2" s="1"/>
  <c r="W34" i="2" s="1"/>
  <c r="N52" i="2"/>
  <c r="T14" i="2"/>
  <c r="T3" i="2"/>
  <c r="W12" i="2"/>
  <c r="M12" i="2" s="1"/>
  <c r="W37" i="2"/>
  <c r="M37" i="2" s="1"/>
  <c r="W13" i="2"/>
  <c r="M13" i="2" s="1"/>
  <c r="N67" i="2"/>
  <c r="R39" i="2"/>
  <c r="K53" i="2"/>
  <c r="L34" i="2" l="1" a="1"/>
  <c r="L34" i="2" s="1"/>
  <c r="M35" i="2"/>
  <c r="M33" i="2"/>
  <c r="L35" i="2" a="1"/>
  <c r="L35" i="2" s="1"/>
  <c r="M31" i="2"/>
  <c r="L31" i="2" a="1"/>
  <c r="L31" i="2" s="1"/>
  <c r="U46" i="2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U14" i="2"/>
  <c r="U3" i="2"/>
  <c r="N39" i="2" l="1"/>
  <c r="V46" i="2"/>
  <c r="W46" i="2" s="1"/>
  <c r="N46" i="2" s="1"/>
  <c r="M39" i="2"/>
  <c r="L39" i="2" a="1"/>
  <c r="L39" i="2" s="1"/>
  <c r="V14" i="2"/>
  <c r="V3" i="2"/>
  <c r="M46" i="2" l="1"/>
  <c r="L46" i="2" a="1"/>
  <c r="L46" i="2" s="1"/>
  <c r="W14" i="2"/>
  <c r="M14" i="2" s="1"/>
  <c r="W3" i="2"/>
  <c r="N3" i="2" s="1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O52" i="2" l="1"/>
  <c r="O53" i="2" s="1"/>
  <c r="L13" i="2" a="1"/>
  <c r="L13" i="2" s="1"/>
  <c r="Q2" i="2"/>
  <c r="R2" i="2" s="1"/>
  <c r="P59" i="2"/>
  <c r="P52" i="2" l="1"/>
  <c r="P53" i="2" s="1"/>
  <c r="L16" i="2" a="1"/>
  <c r="L16" i="2" s="1"/>
  <c r="L14" i="2" a="1"/>
  <c r="L14" i="2" s="1"/>
  <c r="Q59" i="2"/>
  <c r="Q52" i="2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<sst xmlns="http://schemas.openxmlformats.org/spreadsheetml/2006/main" count="241" uniqueCount="135">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</sst>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85.75</c:v>
                </c:pt>
                <c:pt idx="4">
                  <c:v>85.75</c:v>
                </c:pt>
                <c:pt idx="5">
                  <c:v>145.75</c:v>
                </c:pt>
                <c:pt idx="6">
                  <c:v>193.75</c:v>
                </c:pt>
                <c:pt idx="7">
                  <c:v>230.75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06/05/2013</c:v>
                </c:pt>
                <c:pt idx="5">
                  <c:v>13/05/2013</c:v>
                </c:pt>
                <c:pt idx="6">
                  <c:v>20/05/2013</c:v>
                </c:pt>
                <c:pt idx="7">
                  <c:v>27/05/2013</c:v>
                </c:pt>
                <c:pt idx="8">
                  <c:v>03/06/2013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675720"/>
        <c:axId val="168676112"/>
      </c:lineChart>
      <c:catAx>
        <c:axId val="168675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8676112"/>
        <c:crosses val="autoZero"/>
        <c:auto val="0"/>
        <c:lblAlgn val="ctr"/>
        <c:lblOffset val="100"/>
        <c:noMultiLvlLbl val="0"/>
      </c:catAx>
      <c:valAx>
        <c:axId val="1686761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675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P7" sqref="P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3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3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9</v>
      </c>
      <c r="O6" s="51">
        <v>6</v>
      </c>
      <c r="P6" s="51">
        <v>3</v>
      </c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</v>
      </c>
      <c r="O7" s="51">
        <v>10</v>
      </c>
      <c r="P7" s="51">
        <v>8</v>
      </c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124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/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0.25</v>
      </c>
      <c r="O39" s="51"/>
      <c r="P39" s="51">
        <v>0.25</v>
      </c>
      <c r="Q39" s="51" t="s">
        <v>124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ref="N40:N49" si="18">SUM(O40:CG40)</f>
        <v>0</v>
      </c>
      <c r="O40" s="51"/>
      <c r="P40" s="51" t="str">
        <f t="shared" ref="P40" si="19">IF(ISNUMBER(O40)," ",IF(O40="X","X"," "))</f>
        <v xml:space="preserve"> </v>
      </c>
      <c r="Q40" s="51" t="str">
        <f t="shared" ref="Q40" si="20">IF(ISNUMBER(P40)," ",IF(P40="X","X"," "))</f>
        <v xml:space="preserve"> </v>
      </c>
      <c r="R40" s="51" t="str">
        <f t="shared" si="17"/>
        <v xml:space="preserve"> </v>
      </c>
      <c r="S40" s="51" t="str">
        <f t="shared" ref="S40:S49" si="21">IF(ISNUMBER(R40)," ",IF(R40="X","X"," "))</f>
        <v xml:space="preserve"> </v>
      </c>
      <c r="T40" s="51" t="str">
        <f t="shared" ref="T40:T49" si="22">IF(ISNUMBER(S40)," ",IF(S40="X","X"," "))</f>
        <v xml:space="preserve"> </v>
      </c>
      <c r="U40" s="51" t="str">
        <f t="shared" ref="U40:U49" si="23">IF(ISNUMBER(T40)," ",IF(T40="X","X"," "))</f>
        <v xml:space="preserve"> </v>
      </c>
      <c r="V40" s="51" t="str">
        <f t="shared" ref="V40:V49" si="24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5">IF(ISNUMBER(O41)," ",IF(O41="X","X"," "))</f>
        <v xml:space="preserve"> </v>
      </c>
      <c r="Q41" s="51" t="str">
        <f t="shared" ref="Q41:Q49" si="26">IF(ISNUMBER(P41)," ",IF(P41="X","X"," "))</f>
        <v xml:space="preserve"> </v>
      </c>
      <c r="R41" s="51" t="str">
        <f t="shared" ref="R41:R49" si="27">IF(ISNUMBER(Q41)," ",IF(Q41="X","X"," "))</f>
        <v xml:space="preserve"> </v>
      </c>
      <c r="S41" s="51" t="str">
        <f t="shared" si="21"/>
        <v xml:space="preserve"> </v>
      </c>
      <c r="T41" s="51" t="str">
        <f t="shared" si="22"/>
        <v xml:space="preserve"> </v>
      </c>
      <c r="U41" s="51" t="str">
        <f t="shared" si="23"/>
        <v xml:space="preserve"> </v>
      </c>
      <c r="V41" s="51" t="str">
        <f t="shared" si="24"/>
        <v xml:space="preserve"> </v>
      </c>
      <c r="W41" s="51" t="str">
        <f t="shared" ref="W41:W49" si="28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5"/>
        <v xml:space="preserve"> </v>
      </c>
      <c r="Q42" s="51" t="str">
        <f t="shared" si="26"/>
        <v xml:space="preserve"> </v>
      </c>
      <c r="R42" s="51" t="str">
        <f t="shared" si="27"/>
        <v xml:space="preserve"> </v>
      </c>
      <c r="S42" s="51" t="str">
        <f t="shared" si="21"/>
        <v xml:space="preserve"> </v>
      </c>
      <c r="T42" s="51" t="str">
        <f t="shared" si="22"/>
        <v xml:space="preserve"> </v>
      </c>
      <c r="U42" s="51" t="str">
        <f t="shared" si="23"/>
        <v xml:space="preserve"> </v>
      </c>
      <c r="V42" s="51" t="str">
        <f t="shared" si="24"/>
        <v xml:space="preserve"> </v>
      </c>
      <c r="W42" s="51" t="str">
        <f t="shared" si="28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5"/>
        <v xml:space="preserve"> </v>
      </c>
      <c r="Q43" s="51" t="str">
        <f t="shared" si="26"/>
        <v xml:space="preserve"> </v>
      </c>
      <c r="R43" s="51" t="str">
        <f t="shared" si="27"/>
        <v xml:space="preserve"> </v>
      </c>
      <c r="S43" s="51" t="str">
        <f t="shared" si="21"/>
        <v xml:space="preserve"> </v>
      </c>
      <c r="T43" s="51" t="str">
        <f t="shared" si="22"/>
        <v xml:space="preserve"> </v>
      </c>
      <c r="U43" s="51" t="str">
        <f t="shared" si="23"/>
        <v xml:space="preserve"> </v>
      </c>
      <c r="V43" s="51" t="str">
        <f t="shared" si="24"/>
        <v xml:space="preserve"> </v>
      </c>
      <c r="W43" s="51" t="str">
        <f t="shared" si="28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5"/>
        <v xml:space="preserve"> </v>
      </c>
      <c r="Q44" s="51" t="str">
        <f t="shared" si="26"/>
        <v xml:space="preserve"> </v>
      </c>
      <c r="R44" s="51" t="str">
        <f t="shared" si="27"/>
        <v xml:space="preserve"> </v>
      </c>
      <c r="S44" s="51" t="str">
        <f t="shared" si="21"/>
        <v xml:space="preserve"> </v>
      </c>
      <c r="T44" s="51" t="str">
        <f t="shared" si="22"/>
        <v xml:space="preserve"> </v>
      </c>
      <c r="U44" s="51" t="str">
        <f t="shared" si="23"/>
        <v xml:space="preserve"> </v>
      </c>
      <c r="V44" s="51" t="str">
        <f t="shared" si="24"/>
        <v xml:space="preserve"> </v>
      </c>
      <c r="W44" s="51" t="str">
        <f t="shared" si="28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125</v>
      </c>
      <c r="D45" s="68" t="s">
        <v>134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5"/>
        <v xml:space="preserve"> </v>
      </c>
      <c r="Q45" s="51" t="str">
        <f t="shared" si="26"/>
        <v xml:space="preserve"> </v>
      </c>
      <c r="R45" s="51" t="str">
        <f t="shared" si="27"/>
        <v xml:space="preserve"> </v>
      </c>
      <c r="S45" s="51" t="str">
        <f t="shared" si="21"/>
        <v xml:space="preserve"> </v>
      </c>
      <c r="T45" s="51" t="str">
        <f t="shared" si="22"/>
        <v xml:space="preserve"> </v>
      </c>
      <c r="U45" s="51" t="str">
        <f t="shared" si="23"/>
        <v xml:space="preserve"> </v>
      </c>
      <c r="V45" s="51" t="str">
        <f t="shared" si="24"/>
        <v xml:space="preserve"> </v>
      </c>
      <c r="W45" s="51" t="str">
        <f t="shared" si="28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5"/>
        <v xml:space="preserve"> </v>
      </c>
      <c r="Q46" s="51" t="str">
        <f t="shared" si="26"/>
        <v xml:space="preserve"> </v>
      </c>
      <c r="R46" s="51" t="str">
        <f t="shared" si="27"/>
        <v xml:space="preserve"> </v>
      </c>
      <c r="S46" s="51" t="str">
        <f t="shared" si="21"/>
        <v xml:space="preserve"> </v>
      </c>
      <c r="T46" s="51" t="str">
        <f t="shared" si="22"/>
        <v xml:space="preserve"> </v>
      </c>
      <c r="U46" s="51" t="str">
        <f t="shared" si="23"/>
        <v xml:space="preserve"> </v>
      </c>
      <c r="V46" s="51" t="str">
        <f t="shared" si="24"/>
        <v xml:space="preserve"> </v>
      </c>
      <c r="W46" s="51" t="str">
        <f t="shared" si="28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5"/>
        <v xml:space="preserve"> </v>
      </c>
      <c r="Q47" s="51" t="str">
        <f t="shared" si="26"/>
        <v xml:space="preserve"> </v>
      </c>
      <c r="R47" s="51" t="str">
        <f t="shared" si="27"/>
        <v xml:space="preserve"> </v>
      </c>
      <c r="S47" s="51" t="str">
        <f t="shared" si="21"/>
        <v xml:space="preserve"> </v>
      </c>
      <c r="T47" s="51" t="str">
        <f t="shared" si="22"/>
        <v xml:space="preserve"> </v>
      </c>
      <c r="U47" s="51" t="str">
        <f t="shared" si="23"/>
        <v xml:space="preserve"> </v>
      </c>
      <c r="V47" s="51" t="str">
        <f t="shared" si="24"/>
        <v xml:space="preserve"> </v>
      </c>
      <c r="W47" s="51" t="str">
        <f t="shared" si="28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5"/>
        <v xml:space="preserve"> </v>
      </c>
      <c r="Q48" s="51" t="str">
        <f t="shared" si="26"/>
        <v xml:space="preserve"> </v>
      </c>
      <c r="R48" s="51" t="str">
        <f t="shared" si="27"/>
        <v xml:space="preserve"> </v>
      </c>
      <c r="S48" s="51" t="str">
        <f t="shared" si="21"/>
        <v xml:space="preserve"> </v>
      </c>
      <c r="T48" s="51" t="str">
        <f t="shared" si="22"/>
        <v xml:space="preserve"> </v>
      </c>
      <c r="U48" s="51" t="str">
        <f t="shared" si="23"/>
        <v xml:space="preserve"> </v>
      </c>
      <c r="V48" s="51" t="str">
        <f t="shared" si="24"/>
        <v xml:space="preserve"> </v>
      </c>
      <c r="W48" s="51" t="str">
        <f t="shared" si="28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5"/>
        <v xml:space="preserve"> </v>
      </c>
      <c r="Q49" s="51" t="str">
        <f t="shared" si="26"/>
        <v xml:space="preserve"> </v>
      </c>
      <c r="R49" s="51" t="str">
        <f t="shared" si="27"/>
        <v xml:space="preserve"> </v>
      </c>
      <c r="S49" s="51" t="str">
        <f t="shared" si="21"/>
        <v xml:space="preserve"> </v>
      </c>
      <c r="T49" s="51" t="str">
        <f t="shared" si="22"/>
        <v xml:space="preserve"> </v>
      </c>
      <c r="U49" s="51" t="str">
        <f t="shared" si="23"/>
        <v xml:space="preserve"> </v>
      </c>
      <c r="V49" s="51" t="str">
        <f t="shared" si="24"/>
        <v xml:space="preserve"> </v>
      </c>
      <c r="W49" s="51" t="str">
        <f t="shared" si="28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9">SUM(O3:O39)</f>
        <v>32.75</v>
      </c>
      <c r="P50" s="56">
        <f t="shared" si="29"/>
        <v>11.25</v>
      </c>
      <c r="Q50" s="56">
        <f t="shared" si="29"/>
        <v>0</v>
      </c>
      <c r="R50" s="56">
        <f t="shared" si="29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33.09375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30">IF(OR(ISBLANK(O2),O2=$X$2),"",O2)</f>
        <v>41372</v>
      </c>
      <c r="O52" s="27">
        <f t="shared" si="30"/>
        <v>41379</v>
      </c>
      <c r="P52" s="27">
        <f t="shared" si="30"/>
        <v>41386</v>
      </c>
      <c r="Q52" s="27">
        <f t="shared" si="30"/>
        <v>41393</v>
      </c>
      <c r="R52" s="27">
        <f t="shared" si="30"/>
        <v>41400</v>
      </c>
      <c r="S52" s="27">
        <f t="shared" si="30"/>
        <v>41407</v>
      </c>
      <c r="T52" s="27">
        <f t="shared" si="30"/>
        <v>41414</v>
      </c>
      <c r="U52" s="27">
        <f t="shared" si="30"/>
        <v>41421</v>
      </c>
      <c r="V52" s="27">
        <f t="shared" si="30"/>
        <v>41428</v>
      </c>
      <c r="W52" s="27" t="str">
        <f t="shared" si="30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264.75</v>
      </c>
      <c r="L53" s="31"/>
      <c r="M53" s="32"/>
      <c r="N53" s="67">
        <v>296</v>
      </c>
      <c r="O53" s="50">
        <f t="shared" ref="O53:R53" si="31">IF(O52="","",N53)</f>
        <v>296</v>
      </c>
      <c r="P53" s="50">
        <f t="shared" si="31"/>
        <v>296</v>
      </c>
      <c r="Q53" s="50">
        <f t="shared" si="31"/>
        <v>296</v>
      </c>
      <c r="R53" s="50">
        <f t="shared" si="31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85.75</v>
      </c>
      <c r="R54" s="34">
        <f t="array" ref="R54">IF(R52="","",Q54+IF(ISNA(VLOOKUP(S2,$H$2:$H$39,2,FALSE)),0,SUM(IF($H$2:$K$39=S2,$K$2:$K$39))))</f>
        <v>85.75</v>
      </c>
      <c r="S54" s="34">
        <f t="array" ref="S54">IF(S52="","",R54+IF(ISNA(VLOOKUP(T2,$H$2:$H$39,2,FALSE)),0,SUM(IF($H$2:$K$39=T2,$K$2:$K$39))))</f>
        <v>145.75</v>
      </c>
      <c r="T54" s="34">
        <f t="array" ref="T54">IF(T52="","",S54+IF(ISNA(VLOOKUP(U2,$H$2:$H$39,2,FALSE)),0,SUM(IF($H$2:$K$39=U2,$K$2:$K$39))))</f>
        <v>193.75</v>
      </c>
      <c r="U54" s="34">
        <f t="array" ref="U54">IF(U52="","",T54+IF(ISNA(VLOOKUP(V2,$H$2:$H$39,2,FALSE)),0,SUM(IF($H$2:$K$39=V2,$K$2:$K$39))))</f>
        <v>230.75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31</v>
      </c>
      <c r="P55" s="6">
        <f>SUMIFS($K$3:$K$39,Q3:Q39,"=X")</f>
        <v>36</v>
      </c>
      <c r="Q55" s="6">
        <f>SUMIFS($K$3:$K$39,R3:R39,"=X")</f>
        <v>36</v>
      </c>
      <c r="R55" s="6">
        <f>SUMIFS($K$3:$K$39,S3:S39,"=X")</f>
        <v>36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44</v>
      </c>
      <c r="Q56" s="6">
        <f>SUM(Q3:Q39)+P56</f>
        <v>44</v>
      </c>
      <c r="R56" s="6">
        <f>SUM(R3:R39)+Q56</f>
        <v>44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2">O2</f>
        <v>41372</v>
      </c>
      <c r="P59" s="39">
        <f t="shared" si="32"/>
        <v>41379</v>
      </c>
      <c r="Q59" s="39">
        <f t="shared" si="32"/>
        <v>41386</v>
      </c>
      <c r="R59" s="39">
        <f t="shared" si="32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44</v>
      </c>
      <c r="O60" s="37">
        <f t="shared" ref="O60:R61" si="33">SUMIF($F$3:$F$39,$M60,O$3:O$39)</f>
        <v>0</v>
      </c>
      <c r="P60" s="37">
        <f t="shared" si="33"/>
        <v>0</v>
      </c>
      <c r="Q60" s="37">
        <f t="shared" si="33"/>
        <v>0</v>
      </c>
      <c r="R60" s="37">
        <f t="shared" si="33"/>
        <v>0</v>
      </c>
      <c r="S60" s="37">
        <f t="shared" ref="S60:W61" si="34">SUMIF($F$3:$F$39,$M60,S$3:S$39)</f>
        <v>0</v>
      </c>
      <c r="T60" s="37">
        <f t="shared" si="34"/>
        <v>0</v>
      </c>
      <c r="U60" s="37">
        <f t="shared" si="34"/>
        <v>0</v>
      </c>
      <c r="V60" s="37">
        <f t="shared" si="34"/>
        <v>0</v>
      </c>
      <c r="W60" s="37">
        <f t="shared" si="34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3"/>
        <v>0</v>
      </c>
      <c r="P61" s="37">
        <f t="shared" si="33"/>
        <v>0</v>
      </c>
      <c r="Q61" s="37">
        <f t="shared" si="33"/>
        <v>0</v>
      </c>
      <c r="R61" s="37">
        <f t="shared" si="33"/>
        <v>0</v>
      </c>
      <c r="S61" s="37">
        <f t="shared" si="34"/>
        <v>0</v>
      </c>
      <c r="T61" s="37">
        <f t="shared" si="34"/>
        <v>0</v>
      </c>
      <c r="U61" s="37">
        <f t="shared" si="34"/>
        <v>0</v>
      </c>
      <c r="V61" s="37">
        <f t="shared" si="34"/>
        <v>0</v>
      </c>
      <c r="W61" s="37">
        <f t="shared" si="34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164.75</v>
      </c>
      <c r="O66" s="37">
        <f t="shared" ref="O66:R67" si="35">SUMIF($F$3:$F$39,$M66,O$3:O$39)</f>
        <v>0</v>
      </c>
      <c r="P66" s="37">
        <f t="shared" si="35"/>
        <v>0</v>
      </c>
      <c r="Q66" s="37">
        <f t="shared" si="35"/>
        <v>0</v>
      </c>
      <c r="R66" s="37">
        <f t="shared" si="35"/>
        <v>0</v>
      </c>
      <c r="S66" s="37">
        <f t="shared" ref="S66:V67" si="36">SUMIF($F$3:$F$39,$M66,S$3:S$39)</f>
        <v>0</v>
      </c>
      <c r="T66" s="37">
        <f t="shared" si="36"/>
        <v>0</v>
      </c>
      <c r="U66" s="37">
        <f t="shared" si="36"/>
        <v>0</v>
      </c>
      <c r="V66" s="37">
        <f t="shared" si="36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5"/>
        <v>0</v>
      </c>
      <c r="P67" s="37">
        <f t="shared" si="35"/>
        <v>0</v>
      </c>
      <c r="Q67" s="37">
        <f t="shared" si="35"/>
        <v>0</v>
      </c>
      <c r="R67" s="37">
        <f t="shared" si="35"/>
        <v>0</v>
      </c>
      <c r="S67" s="37">
        <f t="shared" si="36"/>
        <v>0</v>
      </c>
      <c r="T67" s="37">
        <f t="shared" si="36"/>
        <v>0</v>
      </c>
      <c r="U67" s="37">
        <f t="shared" si="36"/>
        <v>0</v>
      </c>
      <c r="V67" s="37">
        <f t="shared" si="36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208.75</v>
      </c>
      <c r="O68" s="48">
        <f t="shared" ref="O68:R68" si="37">SUM(O60:O67)</f>
        <v>0</v>
      </c>
      <c r="P68" s="48">
        <f t="shared" si="37"/>
        <v>0</v>
      </c>
      <c r="Q68" s="48">
        <f t="shared" si="37"/>
        <v>0</v>
      </c>
      <c r="R68" s="48">
        <f t="shared" si="37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2013-04-20T21:58:47Z</dcterms:modified>
</cp:coreProperties>
</file>