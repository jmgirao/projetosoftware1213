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Rui\Desktop\Repositorios\ProjectoSW\Docs\Project Management\"/>
    </mc:Choice>
  </mc:AlternateContent>
  <bookViews>
    <workbookView xWindow="0" yWindow="0" windowWidth="15345" windowHeight="4635" activeTab="1"/>
  </bookViews>
  <sheets>
    <sheet name="Information" sheetId="1" r:id="rId1"/>
    <sheet name="Project Tracking" sheetId="2" r:id="rId2"/>
    <sheet name="Graph" sheetId="3" r:id="rId3"/>
  </sheets>
  <definedNames>
    <definedName name="FormulaInCell">GET.CELL(48,INDIRECT("rc",FALSE))</definedName>
    <definedName name="HasFormula">GET.CELL(48,OFFSET(INDIRECT("rc",FALSE),0,1))</definedName>
  </definedNames>
  <calcPr calcId="152511"/>
  <customWorkbookViews>
    <customWorkbookView name="João Cunha - Personal View" guid="{5C9AFCBE-E352-4226-8750-F441413CCE21}" mergeInterval="0" personalView="1" maximized="1" xWindow="1" yWindow="1" windowWidth="1276" windowHeight="579" activeSheetId="2"/>
  </customWorkbookViews>
</workbook>
</file>

<file path=xl/calcChain.xml><?xml version="1.0" encoding="utf-8"?>
<calcChain xmlns="http://schemas.openxmlformats.org/spreadsheetml/2006/main">
  <c r="T37" i="2" l="1"/>
  <c r="T32" i="2"/>
  <c r="T29" i="2"/>
  <c r="T28" i="2"/>
  <c r="T24" i="2"/>
  <c r="T7" i="2" l="1"/>
  <c r="T21" i="2"/>
  <c r="T46" i="2"/>
  <c r="T49" i="2"/>
  <c r="S45" i="2" l="1"/>
  <c r="S35" i="2" l="1"/>
  <c r="S21" i="2"/>
  <c r="S48" i="2" l="1"/>
  <c r="S7" i="2" l="1"/>
  <c r="J63" i="2" l="1"/>
  <c r="K63" i="2"/>
  <c r="R43" i="2"/>
  <c r="R10" i="2" l="1"/>
  <c r="R14" i="2" l="1"/>
  <c r="R12" i="2"/>
  <c r="R7" i="2" l="1"/>
  <c r="R11" i="2" l="1"/>
  <c r="P48" i="2"/>
  <c r="Q48" i="2" s="1"/>
  <c r="R48" i="2" s="1"/>
  <c r="P49" i="2"/>
  <c r="P50" i="2"/>
  <c r="L33" i="2" a="1"/>
  <c r="L33" i="2" s="1"/>
  <c r="M33" i="2"/>
  <c r="N33" i="2"/>
  <c r="M34" i="2"/>
  <c r="N34" i="2"/>
  <c r="P53" i="2"/>
  <c r="Q53" i="2" s="1"/>
  <c r="R53" i="2" s="1"/>
  <c r="S53" i="2" s="1"/>
  <c r="T53" i="2" s="1"/>
  <c r="U53" i="2" s="1"/>
  <c r="V53" i="2" s="1"/>
  <c r="W53" i="2" s="1"/>
  <c r="P54" i="2"/>
  <c r="P55" i="2"/>
  <c r="P52" i="2"/>
  <c r="P51" i="2"/>
  <c r="Q42" i="2"/>
  <c r="P41" i="2"/>
  <c r="O40" i="2"/>
  <c r="R8" i="2"/>
  <c r="Q55" i="2" l="1"/>
  <c r="R55" i="2" s="1"/>
  <c r="S55" i="2" s="1"/>
  <c r="T55" i="2" s="1"/>
  <c r="U55" i="2" s="1"/>
  <c r="V55" i="2" s="1"/>
  <c r="W55" i="2" s="1"/>
  <c r="O60" i="2"/>
  <c r="O66" i="2"/>
  <c r="Q52" i="2"/>
  <c r="R52" i="2" s="1"/>
  <c r="S52" i="2" s="1"/>
  <c r="T52" i="2" s="1"/>
  <c r="U52" i="2" s="1"/>
  <c r="V52" i="2" s="1"/>
  <c r="W52" i="2" s="1"/>
  <c r="Q54" i="2"/>
  <c r="Q50" i="2"/>
  <c r="R50" i="2" s="1"/>
  <c r="S50" i="2" s="1"/>
  <c r="T50" i="2" s="1"/>
  <c r="U50" i="2" s="1"/>
  <c r="V50" i="2" s="1"/>
  <c r="W50" i="2" s="1"/>
  <c r="Q49" i="2"/>
  <c r="R49" i="2" s="1"/>
  <c r="U49" i="2" s="1"/>
  <c r="V49" i="2" s="1"/>
  <c r="W49" i="2" s="1"/>
  <c r="N53" i="2"/>
  <c r="U48" i="2"/>
  <c r="V48" i="2" s="1"/>
  <c r="W48" i="2" s="1"/>
  <c r="L53" i="2" a="1"/>
  <c r="L53" i="2" s="1"/>
  <c r="M53" i="2"/>
  <c r="Q51" i="2"/>
  <c r="R51" i="2" s="1"/>
  <c r="S51" i="2" s="1"/>
  <c r="T51" i="2" s="1"/>
  <c r="U51" i="2" s="1"/>
  <c r="V51" i="2" s="1"/>
  <c r="W51" i="2" s="1"/>
  <c r="Q8" i="2"/>
  <c r="N49" i="2" l="1"/>
  <c r="N50" i="2"/>
  <c r="N52" i="2"/>
  <c r="N51" i="2"/>
  <c r="L55" i="2" a="1"/>
  <c r="L55" i="2" s="1"/>
  <c r="R54" i="2"/>
  <c r="M55" i="2"/>
  <c r="N55" i="2"/>
  <c r="N48" i="2"/>
  <c r="M52" i="2"/>
  <c r="M49" i="2"/>
  <c r="L51" i="2" a="1"/>
  <c r="L51" i="2" s="1"/>
  <c r="L52" i="2" a="1"/>
  <c r="L52" i="2" s="1"/>
  <c r="M51" i="2"/>
  <c r="L50" i="2" a="1"/>
  <c r="L50" i="2" s="1"/>
  <c r="M50" i="2"/>
  <c r="P42" i="2"/>
  <c r="P43" i="2"/>
  <c r="P44" i="2"/>
  <c r="P45" i="2"/>
  <c r="Q45" i="2" s="1"/>
  <c r="P46" i="2"/>
  <c r="P47" i="2"/>
  <c r="P56" i="2"/>
  <c r="P57" i="2"/>
  <c r="P58" i="2"/>
  <c r="P59" i="2"/>
  <c r="Q58" i="2" l="1"/>
  <c r="R58" i="2" s="1"/>
  <c r="S58" i="2" s="1"/>
  <c r="T58" i="2" s="1"/>
  <c r="U58" i="2" s="1"/>
  <c r="V58" i="2" s="1"/>
  <c r="W58" i="2" s="1"/>
  <c r="S42" i="2"/>
  <c r="T42" i="2" s="1"/>
  <c r="U42" i="2" s="1"/>
  <c r="V42" i="2" s="1"/>
  <c r="Q47" i="2"/>
  <c r="R47" i="2" s="1"/>
  <c r="T47" i="2" s="1"/>
  <c r="U47" i="2" s="1"/>
  <c r="V47" i="2" s="1"/>
  <c r="W47" i="2" s="1"/>
  <c r="Q46" i="2"/>
  <c r="R46" i="2" s="1"/>
  <c r="S46" i="2" s="1"/>
  <c r="U46" i="2" s="1"/>
  <c r="V46" i="2" s="1"/>
  <c r="W46" i="2" s="1"/>
  <c r="M46" i="2" s="1"/>
  <c r="S54" i="2"/>
  <c r="Q43" i="2"/>
  <c r="T43" i="2" s="1"/>
  <c r="U43" i="2" s="1"/>
  <c r="Q57" i="2"/>
  <c r="R57" i="2" s="1"/>
  <c r="Q59" i="2"/>
  <c r="R59" i="2" s="1"/>
  <c r="S59" i="2" s="1"/>
  <c r="T59" i="2" s="1"/>
  <c r="U59" i="2" s="1"/>
  <c r="V59" i="2" s="1"/>
  <c r="W59" i="2" s="1"/>
  <c r="R45" i="2"/>
  <c r="Q56" i="2"/>
  <c r="Q44" i="2"/>
  <c r="O71" i="2"/>
  <c r="M17" i="2"/>
  <c r="M18" i="2"/>
  <c r="M19" i="2"/>
  <c r="M20" i="2"/>
  <c r="M21" i="2"/>
  <c r="M22" i="2"/>
  <c r="M23" i="2"/>
  <c r="M24" i="2"/>
  <c r="M26" i="2"/>
  <c r="M27" i="2"/>
  <c r="M28" i="2"/>
  <c r="M29" i="2"/>
  <c r="M30" i="2"/>
  <c r="L24" i="2" a="1"/>
  <c r="L24" i="2" s="1"/>
  <c r="L26" i="2" a="1"/>
  <c r="L26" i="2" s="1"/>
  <c r="L27" i="2" a="1"/>
  <c r="L27" i="2" s="1"/>
  <c r="L30" i="2" a="1"/>
  <c r="L30" i="2" s="1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M47" i="2" l="1"/>
  <c r="N47" i="2"/>
  <c r="N46" i="2"/>
  <c r="N42" i="2"/>
  <c r="N59" i="2"/>
  <c r="S57" i="2"/>
  <c r="T57" i="2" s="1"/>
  <c r="U57" i="2" s="1"/>
  <c r="V57" i="2" s="1"/>
  <c r="W57" i="2" s="1"/>
  <c r="L58" i="2" a="1"/>
  <c r="L58" i="2" s="1"/>
  <c r="M58" i="2"/>
  <c r="T54" i="2"/>
  <c r="N58" i="2"/>
  <c r="U45" i="2"/>
  <c r="V45" i="2" s="1"/>
  <c r="W45" i="2" s="1"/>
  <c r="N45" i="2" s="1"/>
  <c r="V43" i="2"/>
  <c r="M59" i="2"/>
  <c r="L59" i="2" a="1"/>
  <c r="L59" i="2" s="1"/>
  <c r="L57" i="2" a="1"/>
  <c r="L57" i="2" s="1"/>
  <c r="R44" i="2"/>
  <c r="R56" i="2"/>
  <c r="M57" i="2"/>
  <c r="N7" i="2"/>
  <c r="Q3" i="2"/>
  <c r="N4" i="2"/>
  <c r="N5" i="2"/>
  <c r="N6" i="2"/>
  <c r="N8" i="2"/>
  <c r="N9" i="2"/>
  <c r="N10" i="2"/>
  <c r="N11" i="2"/>
  <c r="L9" i="2" a="1"/>
  <c r="L9" i="2" s="1"/>
  <c r="U54" i="2" l="1"/>
  <c r="N57" i="2"/>
  <c r="W43" i="2"/>
  <c r="N43" i="2" s="1"/>
  <c r="S44" i="2"/>
  <c r="T44" i="2" s="1"/>
  <c r="U44" i="2" s="1"/>
  <c r="V44" i="2" s="1"/>
  <c r="W44" i="2" s="1"/>
  <c r="N44" i="2" s="1"/>
  <c r="S56" i="2"/>
  <c r="R3" i="2"/>
  <c r="W62" i="2"/>
  <c r="U13" i="2"/>
  <c r="V13" i="2" s="1"/>
  <c r="U15" i="2"/>
  <c r="V15" i="2" s="1"/>
  <c r="W15" i="2" s="1"/>
  <c r="T16" i="2"/>
  <c r="U16" i="2" s="1"/>
  <c r="V16" i="2" s="1"/>
  <c r="W16" i="2" s="1"/>
  <c r="O2" i="2"/>
  <c r="P15" i="2"/>
  <c r="P16" i="2"/>
  <c r="P31" i="2"/>
  <c r="P32" i="2"/>
  <c r="P35" i="2"/>
  <c r="P36" i="2"/>
  <c r="P37" i="2"/>
  <c r="P38" i="2"/>
  <c r="P39" i="2"/>
  <c r="O77" i="2"/>
  <c r="P77" i="2"/>
  <c r="Q77" i="2"/>
  <c r="R77" i="2"/>
  <c r="S77" i="2"/>
  <c r="T77" i="2"/>
  <c r="U77" i="2"/>
  <c r="V77" i="2"/>
  <c r="W77" i="2"/>
  <c r="S3" i="2" l="1"/>
  <c r="T3" i="2" s="1"/>
  <c r="Q39" i="2"/>
  <c r="R39" i="2" s="1"/>
  <c r="S39" i="2" s="1"/>
  <c r="T39" i="2" s="1"/>
  <c r="U39" i="2" s="1"/>
  <c r="V39" i="2" s="1"/>
  <c r="O65" i="2"/>
  <c r="P60" i="2"/>
  <c r="P66" i="2"/>
  <c r="V54" i="2"/>
  <c r="W54" i="2" s="1"/>
  <c r="U12" i="2"/>
  <c r="M44" i="2"/>
  <c r="L46" i="2" a="1"/>
  <c r="L46" i="2" s="1"/>
  <c r="T56" i="2"/>
  <c r="Q32" i="2"/>
  <c r="R32" i="2" s="1"/>
  <c r="S32" i="2" s="1"/>
  <c r="U32" i="2" s="1"/>
  <c r="V32" i="2" s="1"/>
  <c r="W32" i="2" s="1"/>
  <c r="M16" i="2"/>
  <c r="Q15" i="2"/>
  <c r="Q38" i="2"/>
  <c r="R38" i="2" s="1"/>
  <c r="S38" i="2" s="1"/>
  <c r="T38" i="2" s="1"/>
  <c r="U38" i="2" s="1"/>
  <c r="V38" i="2" s="1"/>
  <c r="W38" i="2" s="1"/>
  <c r="T31" i="2"/>
  <c r="U31" i="2" s="1"/>
  <c r="V31" i="2" s="1"/>
  <c r="W31" i="2" s="1"/>
  <c r="Q37" i="2"/>
  <c r="R37" i="2" s="1"/>
  <c r="S37" i="2" s="1"/>
  <c r="U37" i="2" s="1"/>
  <c r="V37" i="2" s="1"/>
  <c r="W37" i="2" s="1"/>
  <c r="L7" i="2" a="1"/>
  <c r="L7" i="2" s="1"/>
  <c r="L6" i="2" a="1"/>
  <c r="L6" i="2" s="1"/>
  <c r="L4" i="2" a="1"/>
  <c r="L4" i="2" s="1"/>
  <c r="Q35" i="2"/>
  <c r="R35" i="2" s="1"/>
  <c r="U35" i="2" s="1"/>
  <c r="V35" i="2" s="1"/>
  <c r="W35" i="2" s="1"/>
  <c r="Q36" i="2"/>
  <c r="R36" i="2" s="1"/>
  <c r="S36" i="2" s="1"/>
  <c r="T36" i="2" s="1"/>
  <c r="U36" i="2" s="1"/>
  <c r="V36" i="2" s="1"/>
  <c r="W36" i="2" s="1"/>
  <c r="N62" i="2"/>
  <c r="N64" i="2" s="1" a="1"/>
  <c r="N64" i="2" s="1"/>
  <c r="W39" i="2"/>
  <c r="M39" i="2" s="1"/>
  <c r="N77" i="2"/>
  <c r="R41" i="2"/>
  <c r="N54" i="2" l="1"/>
  <c r="N36" i="2"/>
  <c r="N38" i="2"/>
  <c r="N37" i="2"/>
  <c r="M54" i="2"/>
  <c r="N39" i="2"/>
  <c r="N35" i="2"/>
  <c r="M15" i="2"/>
  <c r="L54" i="2" a="1"/>
  <c r="L54" i="2" s="1"/>
  <c r="V12" i="2"/>
  <c r="L35" i="2" a="1"/>
  <c r="L35" i="2" s="1"/>
  <c r="L38" i="2" a="1"/>
  <c r="L38" i="2" s="1"/>
  <c r="M37" i="2"/>
  <c r="M35" i="2"/>
  <c r="M31" i="2"/>
  <c r="U56" i="2"/>
  <c r="L32" i="2" a="1"/>
  <c r="L32" i="2" s="1"/>
  <c r="L39" i="2" a="1"/>
  <c r="L39" i="2" s="1"/>
  <c r="M32" i="2"/>
  <c r="M36" i="2"/>
  <c r="M38" i="2"/>
  <c r="S41" i="2"/>
  <c r="T41" i="2" s="1"/>
  <c r="U41" i="2" s="1"/>
  <c r="V41" i="2" s="1"/>
  <c r="U14" i="2"/>
  <c r="U3" i="2"/>
  <c r="N41" i="2" l="1"/>
  <c r="V56" i="2"/>
  <c r="W56" i="2" s="1"/>
  <c r="N56" i="2" s="1"/>
  <c r="V14" i="2"/>
  <c r="V3" i="2"/>
  <c r="M56" i="2" l="1"/>
  <c r="L56" i="2" a="1"/>
  <c r="L56" i="2" s="1"/>
  <c r="W14" i="2"/>
  <c r="N3" i="2"/>
  <c r="O70" i="2"/>
  <c r="O76" i="2"/>
  <c r="W60" i="2" l="1"/>
  <c r="Q40" i="2"/>
  <c r="Q76" i="2"/>
  <c r="P70" i="2"/>
  <c r="O78" i="2"/>
  <c r="N13" i="2"/>
  <c r="N32" i="2"/>
  <c r="N15" i="2"/>
  <c r="P71" i="2"/>
  <c r="P76" i="2"/>
  <c r="Q66" i="2" l="1"/>
  <c r="Q60" i="2"/>
  <c r="P65" i="2"/>
  <c r="Q70" i="2"/>
  <c r="R40" i="2"/>
  <c r="P78" i="2"/>
  <c r="R76" i="2"/>
  <c r="Q71" i="2"/>
  <c r="R70" i="2"/>
  <c r="N16" i="2"/>
  <c r="R66" i="2" l="1"/>
  <c r="R60" i="2"/>
  <c r="Q65" i="2"/>
  <c r="Q78" i="2"/>
  <c r="S40" i="2"/>
  <c r="S76" i="2"/>
  <c r="R71" i="2"/>
  <c r="R78" i="2" s="1"/>
  <c r="R65" i="2" l="1"/>
  <c r="S60" i="2"/>
  <c r="S70" i="2"/>
  <c r="T40" i="2"/>
  <c r="T60" i="2" s="1"/>
  <c r="S71" i="2"/>
  <c r="T76" i="2"/>
  <c r="S78" i="2" l="1"/>
  <c r="T70" i="2"/>
  <c r="U40" i="2"/>
  <c r="U60" i="2" s="1"/>
  <c r="U70" i="2"/>
  <c r="U76" i="2"/>
  <c r="T71" i="2"/>
  <c r="T78" i="2" l="1"/>
  <c r="V40" i="2"/>
  <c r="V76" i="2"/>
  <c r="U71" i="2"/>
  <c r="U78" i="2" s="1"/>
  <c r="V60" i="2" l="1"/>
  <c r="N40" i="2"/>
  <c r="V70" i="2"/>
  <c r="N14" i="2"/>
  <c r="V71" i="2"/>
  <c r="L40" i="2" l="1" a="1"/>
  <c r="L40" i="2" s="1"/>
  <c r="M40" i="2"/>
  <c r="V78" i="2"/>
  <c r="W70" i="2"/>
  <c r="W71" i="2"/>
  <c r="W78" i="2" l="1"/>
  <c r="N76" i="2"/>
  <c r="N31" i="2"/>
  <c r="N70" i="2" l="1"/>
  <c r="N71" i="2"/>
  <c r="N12" i="2"/>
  <c r="N78" i="2" l="1"/>
  <c r="P2" i="2" l="1"/>
  <c r="M3" i="2"/>
  <c r="O69" i="2"/>
  <c r="L3" i="2" a="1"/>
  <c r="L3" i="2" s="1"/>
  <c r="M4" i="2" l="1"/>
  <c r="M41" i="2"/>
  <c r="L41" i="2" a="1"/>
  <c r="L41" i="2" s="1"/>
  <c r="O62" i="2"/>
  <c r="O64" i="2" s="1" a="1"/>
  <c r="O64" i="2" s="1"/>
  <c r="Q2" i="2"/>
  <c r="P69" i="2"/>
  <c r="O63" i="2" l="1"/>
  <c r="L44" i="2" a="1"/>
  <c r="L44" i="2" s="1"/>
  <c r="L42" i="2" a="1"/>
  <c r="L42" i="2" s="1"/>
  <c r="M42" i="2"/>
  <c r="M6" i="2"/>
  <c r="L8" i="2" a="1"/>
  <c r="L8" i="2" s="1"/>
  <c r="R2" i="2"/>
  <c r="M5" i="2"/>
  <c r="L5" i="2" a="1"/>
  <c r="L5" i="2" s="1"/>
  <c r="P62" i="2"/>
  <c r="Q69" i="2"/>
  <c r="P63" i="2" l="1"/>
  <c r="P64" i="2" a="1"/>
  <c r="P64" i="2" s="1"/>
  <c r="M9" i="2"/>
  <c r="M10" i="2"/>
  <c r="M43" i="2"/>
  <c r="L12" i="2" a="1"/>
  <c r="L12" i="2" s="1"/>
  <c r="M12" i="2"/>
  <c r="L45" i="2" a="1"/>
  <c r="L45" i="2" s="1"/>
  <c r="L43" i="2" a="1"/>
  <c r="L43" i="2" s="1"/>
  <c r="M8" i="2"/>
  <c r="Q62" i="2"/>
  <c r="Q63" i="2" s="1"/>
  <c r="S2" i="2"/>
  <c r="M45" i="2" s="1"/>
  <c r="R69" i="2"/>
  <c r="Q64" i="2" l="1" a="1"/>
  <c r="Q64" i="2" s="1"/>
  <c r="L17" i="2" a="1"/>
  <c r="L17" i="2" s="1"/>
  <c r="L21" i="2" a="1"/>
  <c r="L21" i="2" s="1"/>
  <c r="L23" i="2" a="1"/>
  <c r="L23" i="2" s="1"/>
  <c r="L18" i="2" a="1"/>
  <c r="L18" i="2" s="1"/>
  <c r="L22" i="2" a="1"/>
  <c r="L22" i="2" s="1"/>
  <c r="L20" i="2" a="1"/>
  <c r="L20" i="2" s="1"/>
  <c r="L19" i="2" a="1"/>
  <c r="L19" i="2" s="1"/>
  <c r="L37" i="2" a="1"/>
  <c r="L37" i="2" s="1"/>
  <c r="L31" i="2" a="1"/>
  <c r="L31" i="2" s="1"/>
  <c r="M14" i="2"/>
  <c r="L16" i="2" a="1"/>
  <c r="L16" i="2" s="1"/>
  <c r="M48" i="2"/>
  <c r="L48" i="2" a="1"/>
  <c r="L48" i="2" s="1"/>
  <c r="L25" i="2" a="1"/>
  <c r="L25" i="2" s="1"/>
  <c r="L28" i="2" a="1"/>
  <c r="L28" i="2" s="1"/>
  <c r="M25" i="2"/>
  <c r="L29" i="2" a="1"/>
  <c r="L29" i="2" s="1"/>
  <c r="L47" i="2" a="1"/>
  <c r="L47" i="2" s="1"/>
  <c r="M13" i="2"/>
  <c r="L10" i="2" a="1"/>
  <c r="L10" i="2" s="1"/>
  <c r="L14" i="2" a="1"/>
  <c r="L14" i="2" s="1"/>
  <c r="L13" i="2" a="1"/>
  <c r="L13" i="2" s="1"/>
  <c r="M11" i="2"/>
  <c r="L11" i="2" a="1"/>
  <c r="L11" i="2" s="1"/>
  <c r="R62" i="2"/>
  <c r="R63" i="2" s="1"/>
  <c r="T2" i="2"/>
  <c r="S69" i="2"/>
  <c r="L34" i="2" l="1" a="1"/>
  <c r="L34" i="2" s="1"/>
  <c r="L49" i="2" a="1"/>
  <c r="L49" i="2" s="1"/>
  <c r="L36" i="2" a="1"/>
  <c r="L36" i="2" s="1"/>
  <c r="M7" i="2"/>
  <c r="R64" i="2" a="1"/>
  <c r="R64" i="2" s="1"/>
  <c r="S64" i="2" s="1" a="1"/>
  <c r="S64" i="2" s="1"/>
  <c r="S62" i="2"/>
  <c r="S63" i="2" s="1"/>
  <c r="T69" i="2"/>
  <c r="U2" i="2"/>
  <c r="T62" i="2" l="1"/>
  <c r="T63" i="2" s="1"/>
  <c r="V2" i="2"/>
  <c r="L15" i="2" a="1"/>
  <c r="L15" i="2" s="1"/>
  <c r="U69" i="2"/>
  <c r="T64" i="2" l="1" a="1"/>
  <c r="T64" i="2" s="1"/>
  <c r="W2" i="2"/>
  <c r="J60" i="2" s="1"/>
  <c r="U62" i="2"/>
  <c r="U63" i="2" s="1"/>
  <c r="V69" i="2"/>
  <c r="U64" i="2" l="1" a="1"/>
  <c r="U64" i="2" s="1"/>
  <c r="V62" i="2"/>
  <c r="K61" i="2"/>
  <c r="V63" i="2" l="1"/>
</calcChain>
</file>

<file path=xl/comments1.xml><?xml version="1.0" encoding="utf-8"?>
<comments xmlns="http://schemas.openxmlformats.org/spreadsheetml/2006/main">
  <authors>
    <author>João Cunha</author>
  </authors>
  <commentList>
    <comment ref="J63" authorId="0" shapeId="0">
      <text>
        <r>
          <rPr>
            <sz val="8"/>
            <color indexed="81"/>
            <rFont val="Tahoma"/>
            <family val="2"/>
          </rPr>
          <t>This is the total duration of the project, in days. Is is NOT the total effort.</t>
        </r>
      </text>
    </comment>
    <comment ref="K63" authorId="0" shapeId="0">
      <text>
        <r>
          <rPr>
            <sz val="8"/>
            <color indexed="81"/>
            <rFont val="Tahoma"/>
            <family val="2"/>
          </rPr>
          <t>This is the sum of the current Estimated Effort</t>
        </r>
      </text>
    </comment>
  </commentList>
</comments>
</file>

<file path=xl/sharedStrings.xml><?xml version="1.0" encoding="utf-8"?>
<sst xmlns="http://schemas.openxmlformats.org/spreadsheetml/2006/main" count="258" uniqueCount="132">
  <si>
    <t>Budget at Completion (BAC)</t>
  </si>
  <si>
    <t>ID</t>
  </si>
  <si>
    <t>Task Level1</t>
  </si>
  <si>
    <t>Task Level2</t>
  </si>
  <si>
    <t>Task Level3</t>
  </si>
  <si>
    <t>Resource</t>
  </si>
  <si>
    <t>Planned Start</t>
  </si>
  <si>
    <t>Actual Effort</t>
  </si>
  <si>
    <t>Actual Complete</t>
  </si>
  <si>
    <t>Budgeted Cost of Work (BCW)</t>
  </si>
  <si>
    <t>Planned Complete</t>
  </si>
  <si>
    <t>Actual Cost of Work (ACW)</t>
  </si>
  <si>
    <t>Actual 
Start</t>
  </si>
  <si>
    <t>Notes</t>
  </si>
  <si>
    <t>TRACKING</t>
  </si>
  <si>
    <t>Earned Value (EV)</t>
  </si>
  <si>
    <t>Holidays</t>
  </si>
  <si>
    <t/>
  </si>
  <si>
    <t>Actual work expended</t>
  </si>
  <si>
    <t>WORK PER RESOURCE</t>
  </si>
  <si>
    <t>Total</t>
  </si>
  <si>
    <r>
      <t xml:space="preserve">Actual work expended (Mark with </t>
    </r>
    <r>
      <rPr>
        <sz val="10"/>
        <color theme="0"/>
        <rFont val="Calibri"/>
        <family val="2"/>
        <scheme val="minor"/>
      </rPr>
      <t>X</t>
    </r>
    <r>
      <rPr>
        <b/>
        <sz val="10"/>
        <color theme="0"/>
        <rFont val="Calibri"/>
        <family val="2"/>
        <scheme val="minor"/>
      </rPr>
      <t xml:space="preserve"> when task completed)</t>
    </r>
  </si>
  <si>
    <t>Definitions</t>
  </si>
  <si>
    <r>
      <t xml:space="preserve">The </t>
    </r>
    <r>
      <rPr>
        <b/>
        <sz val="10"/>
        <color theme="1"/>
        <rFont val="Calibri"/>
        <family val="2"/>
        <scheme val="minor"/>
      </rPr>
      <t>Actual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ACW</t>
    </r>
    <r>
      <rPr>
        <sz val="10"/>
        <color theme="1"/>
        <rFont val="Calibri"/>
        <family val="2"/>
        <scheme val="minor"/>
      </rPr>
      <t>) is the effort actually expended to complete the work tasks.</t>
    </r>
  </si>
  <si>
    <r>
      <rPr>
        <sz val="10"/>
        <color theme="1"/>
        <rFont val="Calibri"/>
        <family val="2"/>
        <scheme val="minor"/>
      </rPr>
      <t xml:space="preserve">The </t>
    </r>
    <r>
      <rPr>
        <b/>
        <sz val="10"/>
        <color theme="1"/>
        <rFont val="Calibri"/>
        <family val="2"/>
        <scheme val="minor"/>
      </rPr>
      <t>Budget at Completion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BAC</t>
    </r>
    <r>
      <rPr>
        <sz val="10"/>
        <color theme="1"/>
        <rFont val="Calibri"/>
        <family val="2"/>
        <scheme val="minor"/>
      </rPr>
      <t>) is the estimate of the total project effort. It results from summing the BCW of all the tasks.</t>
    </r>
  </si>
  <si>
    <t>Instructions</t>
  </si>
  <si>
    <t>Estimated Effort 
(hours)</t>
  </si>
  <si>
    <t>Actual Effort (hours)</t>
  </si>
  <si>
    <t>Start from previous start</t>
  </si>
  <si>
    <t>UPDATE</t>
  </si>
  <si>
    <t>PLANNING</t>
  </si>
  <si>
    <t>Planned Value (PV)</t>
  </si>
  <si>
    <t>Actual Cost (AC)</t>
  </si>
  <si>
    <t>3. 'Fill right' the EV and AC until the current day for updating the graph</t>
  </si>
  <si>
    <r>
      <t xml:space="preserve">The </t>
    </r>
    <r>
      <rPr>
        <b/>
        <sz val="10"/>
        <color theme="1"/>
        <rFont val="Calibri"/>
        <family val="2"/>
        <scheme val="minor"/>
      </rPr>
      <t>Planned Value</t>
    </r>
    <r>
      <rPr>
        <sz val="10"/>
        <color theme="1"/>
        <rFont val="Calibri"/>
        <family val="2"/>
        <scheme val="minor"/>
      </rPr>
      <t xml:space="preserve"> (PV) is the sum of the BCW of all the tasks that were scheduled to be completed at a point in time on the project schedule.  </t>
    </r>
  </si>
  <si>
    <r>
      <t xml:space="preserve">The </t>
    </r>
    <r>
      <rPr>
        <b/>
        <sz val="10"/>
        <color theme="1"/>
        <rFont val="Calibri"/>
        <family val="2"/>
        <scheme val="minor"/>
      </rPr>
      <t>Earned Value</t>
    </r>
    <r>
      <rPr>
        <sz val="10"/>
        <color theme="1"/>
        <rFont val="Calibri"/>
        <family val="2"/>
        <scheme val="minor"/>
      </rPr>
      <t xml:space="preserve"> (EV) is the sum of the BCW of all the tasks that have actually been completed at a point in time on the project schedule.</t>
    </r>
  </si>
  <si>
    <r>
      <t xml:space="preserve">The </t>
    </r>
    <r>
      <rPr>
        <b/>
        <sz val="10"/>
        <color theme="1"/>
        <rFont val="Calibri"/>
        <family val="2"/>
        <scheme val="minor"/>
      </rPr>
      <t xml:space="preserve">Actual Cost </t>
    </r>
    <r>
      <rPr>
        <sz val="10"/>
        <color theme="1"/>
        <rFont val="Calibri"/>
        <family val="2"/>
        <scheme val="minor"/>
      </rPr>
      <t>(</t>
    </r>
    <r>
      <rPr>
        <b/>
        <sz val="10"/>
        <color theme="1"/>
        <rFont val="Calibri"/>
        <family val="2"/>
        <scheme val="minor"/>
      </rPr>
      <t>AC</t>
    </r>
    <r>
      <rPr>
        <sz val="10"/>
        <color theme="1"/>
        <rFont val="Calibri"/>
        <family val="2"/>
        <scheme val="minor"/>
      </rPr>
      <t>) is the sum of the ACW of all the tasks that have actually been completed by a point in time in the project schedule.</t>
    </r>
  </si>
  <si>
    <t>1. Fill the project WBS [columns B:E]</t>
  </si>
  <si>
    <t>3. Set planned start for first task [cell G3]. Set planned duration [column J] and start-to-start dependency from previous task [column I]. Adjust dates [columns G:H].</t>
  </si>
  <si>
    <t>4. Update the holidays list [row 2]</t>
  </si>
  <si>
    <t>GENERAL</t>
  </si>
  <si>
    <t>1. Cells in Blank are writeable</t>
  </si>
  <si>
    <t>2. Cells in ligh gray contain formulas, but are writeable</t>
  </si>
  <si>
    <t>4. If you need more lines/columns in a table:</t>
  </si>
  <si>
    <t>4.1. Unprotect Sheet</t>
  </si>
  <si>
    <t>4.2. Select N entire rows/columns starting from last row/column of the table and right click + Insert</t>
  </si>
  <si>
    <t>4.3. Select cells from last row/column in the table and fill-up/-left.</t>
  </si>
  <si>
    <t>4.4. Protect Sheet</t>
  </si>
  <si>
    <t>* A Gantt chart with the plan is presented in green</t>
  </si>
  <si>
    <t>* A Gantt chart with the actual work is presented in blue and green-blue</t>
  </si>
  <si>
    <t>1. If reviewing an estimation, adding a task or deleting a task changes the total estimated project efort, the BAC must be updated at the date o the review.</t>
  </si>
  <si>
    <t>4. If removing a task, delete the estimated effort and check 1. If you also delete the planned duration and start-to-start dependency, the dates of the following tasks and the Gantt are automatically updated.</t>
  </si>
  <si>
    <t>3. If introducing new tasks, you may need to add new rows. Check GENERAL. Check 1 from UPDATE.</t>
  </si>
  <si>
    <t>5. If changing dates or resources, no further changes are required</t>
  </si>
  <si>
    <t>7. Insert a justification note on every change</t>
  </si>
  <si>
    <r>
      <t xml:space="preserve">The </t>
    </r>
    <r>
      <rPr>
        <b/>
        <sz val="10"/>
        <color theme="1"/>
        <rFont val="Calibri"/>
        <family val="2"/>
        <scheme val="minor"/>
      </rPr>
      <t>Budgeted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BCW</t>
    </r>
    <r>
      <rPr>
        <sz val="10"/>
        <color theme="1"/>
        <rFont val="Calibri"/>
        <family val="2"/>
        <scheme val="minor"/>
      </rPr>
      <t>) is the estimated effort for each of the work tasks represented in the schedule. This may be in person-hours.</t>
    </r>
  </si>
  <si>
    <t xml:space="preserve">6. If adding a resource, you may need to add new rows in the tables. Check GENERAL. </t>
  </si>
  <si>
    <t>2. Fill the task resources [column F] and estimated effort [column K]. If several resources are assigned to the same task, the task must be repeated in several lines, one for each resource.</t>
  </si>
  <si>
    <t>Planned Duration (weeks)</t>
  </si>
  <si>
    <t>Duration</t>
  </si>
  <si>
    <t>Effort/Week</t>
  </si>
  <si>
    <t>Work</t>
  </si>
  <si>
    <t>3. Keep last row/column of a table free (don't write a task in last row in tasks table)</t>
  </si>
  <si>
    <t>5. Check if you have at least one more days in the 'Actual work expended' tables [e.g. row 2] than the last day of the project (dates cells [row 2] in black). If not, insert columns and check GENERAL.</t>
  </si>
  <si>
    <t>5. Write the initial BAC (total estimated effort) [cell in column N, row of (BAC)]</t>
  </si>
  <si>
    <t>1. Introduce the actual work expended on the task during the week</t>
  </si>
  <si>
    <t>2. Set an X on the following week when a task is completed</t>
  </si>
  <si>
    <r>
      <t xml:space="preserve">2. If reviewing the estimated effort of any incomplete task, check </t>
    </r>
    <r>
      <rPr>
        <b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. No further changes are required.</t>
    </r>
  </si>
  <si>
    <t>YOU NEED TO BASELINE THE PROJECT BEFORE STARTING. Just copy the worksheet, with values and formats only.</t>
  </si>
  <si>
    <t>Requirements Analysis</t>
  </si>
  <si>
    <t>Elicitation (brainstorming) + Use Case (draft)</t>
  </si>
  <si>
    <t>Use case definition + Mockups + Business Rules</t>
  </si>
  <si>
    <t>Risk meeting</t>
  </si>
  <si>
    <t>Requirements definition + SRS production</t>
  </si>
  <si>
    <t>SRS Inspection</t>
  </si>
  <si>
    <t>Planning + Preparation</t>
  </si>
  <si>
    <t>Meeting</t>
  </si>
  <si>
    <t>Rework + Followup</t>
  </si>
  <si>
    <t>Reestimate</t>
  </si>
  <si>
    <t>Development</t>
  </si>
  <si>
    <t>Database</t>
  </si>
  <si>
    <t>Architecture definition (ER diagram)</t>
  </si>
  <si>
    <t>Walktrough</t>
  </si>
  <si>
    <t>Coding</t>
  </si>
  <si>
    <t>Database Module Implementation</t>
  </si>
  <si>
    <t>Coding (Adding tasks)</t>
  </si>
  <si>
    <t>UI</t>
  </si>
  <si>
    <t>Functionality</t>
  </si>
  <si>
    <t>Integration</t>
  </si>
  <si>
    <t>Coding (Adding Tasks)</t>
  </si>
  <si>
    <t>Coding (Show tasks details)</t>
  </si>
  <si>
    <t>Coding (Show tasks listing)</t>
  </si>
  <si>
    <t>Coding (Inactivity Alerts)</t>
  </si>
  <si>
    <t>Detection</t>
  </si>
  <si>
    <t>Reaction (UI)</t>
  </si>
  <si>
    <t>Reaction (Functionality)</t>
  </si>
  <si>
    <t>Reaction (Integration)</t>
  </si>
  <si>
    <t xml:space="preserve"> Coding (Edit and Delete task)</t>
  </si>
  <si>
    <t>Export app data</t>
  </si>
  <si>
    <t>Timing individual tasks</t>
  </si>
  <si>
    <t>Coding (Code Inspection)</t>
  </si>
  <si>
    <t>Acceptance Tests</t>
  </si>
  <si>
    <t>Code and fix</t>
  </si>
  <si>
    <t>FB</t>
  </si>
  <si>
    <t>CM</t>
  </si>
  <si>
    <t>JG</t>
  </si>
  <si>
    <t>RG</t>
  </si>
  <si>
    <t>JM</t>
  </si>
  <si>
    <t xml:space="preserve"> </t>
  </si>
  <si>
    <t>Acceptance Tests Planning</t>
  </si>
  <si>
    <t xml:space="preserve">Integration                                                                            </t>
  </si>
  <si>
    <t>DJ</t>
  </si>
  <si>
    <t>X</t>
  </si>
  <si>
    <t>x</t>
  </si>
  <si>
    <t>Management</t>
  </si>
  <si>
    <t>Week 1 Management</t>
  </si>
  <si>
    <t>Week 2 Management</t>
  </si>
  <si>
    <t>Week 3 Management</t>
  </si>
  <si>
    <t>Week 4 Management</t>
  </si>
  <si>
    <t>Week 5 Management</t>
  </si>
  <si>
    <t>Week 6 Management</t>
  </si>
  <si>
    <t>Week 7 Management</t>
  </si>
  <si>
    <t>Week 8 Management</t>
  </si>
  <si>
    <t>Execution</t>
  </si>
  <si>
    <t>Shortcuts</t>
  </si>
  <si>
    <t>Settings</t>
  </si>
  <si>
    <t xml:space="preserve"> Coding </t>
  </si>
  <si>
    <t>Meetings</t>
  </si>
  <si>
    <t>Meeting Minute 1</t>
  </si>
  <si>
    <t>Meeting Minute 2</t>
  </si>
  <si>
    <t>Meeting Minute 3</t>
  </si>
  <si>
    <t>JM; CM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</si>
</sst>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8"/>
      <color indexed="81"/>
      <name val="Tahoma"/>
      <family val="2"/>
    </font>
    <font>
      <b/>
      <sz val="10"/>
      <color theme="5"/>
      <name val="Calibri"/>
      <family val="2"/>
      <scheme val="minor"/>
    </font>
    <font>
      <sz val="8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9" fontId="2" fillId="0" borderId="0" applyFont="0" applyFill="0" applyBorder="0" applyAlignment="0" applyProtection="0"/>
  </cellStyleXfs>
  <cellXfs count="103">
    <xf numFmtId="0" fontId="0" fillId="0" borderId="0" xfId="0"/>
    <xf numFmtId="0" fontId="3" fillId="0" borderId="0" xfId="0" applyFont="1"/>
    <xf numFmtId="0" fontId="3" fillId="0" borderId="0" xfId="0" applyFont="1" applyBorder="1"/>
    <xf numFmtId="0" fontId="5" fillId="5" borderId="1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wrapText="1"/>
      <protection locked="0"/>
    </xf>
    <xf numFmtId="0" fontId="5" fillId="0" borderId="1" xfId="1" applyFont="1" applyBorder="1" applyProtection="1"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3" fillId="8" borderId="7" xfId="0" applyFont="1" applyFill="1" applyBorder="1" applyAlignment="1"/>
    <xf numFmtId="0" fontId="3" fillId="8" borderId="8" xfId="0" applyFont="1" applyFill="1" applyBorder="1" applyAlignment="1"/>
    <xf numFmtId="0" fontId="4" fillId="6" borderId="6" xfId="1" applyFont="1" applyFill="1" applyBorder="1" applyAlignment="1" applyProtection="1">
      <alignment horizontal="left" wrapText="1"/>
      <protection locked="0"/>
    </xf>
    <xf numFmtId="0" fontId="5" fillId="14" borderId="9" xfId="1" applyFont="1" applyFill="1" applyBorder="1" applyAlignment="1" applyProtection="1">
      <alignment wrapText="1"/>
      <protection locked="0"/>
    </xf>
    <xf numFmtId="0" fontId="5" fillId="14" borderId="7" xfId="1" applyFont="1" applyFill="1" applyBorder="1" applyAlignment="1" applyProtection="1">
      <alignment wrapText="1"/>
      <protection locked="0"/>
    </xf>
    <xf numFmtId="0" fontId="3" fillId="14" borderId="7" xfId="1" applyFont="1" applyFill="1" applyBorder="1" applyAlignment="1" applyProtection="1">
      <alignment wrapText="1"/>
      <protection locked="0"/>
    </xf>
    <xf numFmtId="0" fontId="3" fillId="14" borderId="8" xfId="1" applyFont="1" applyFill="1" applyBorder="1" applyAlignment="1" applyProtection="1">
      <alignment wrapText="1"/>
      <protection locked="0"/>
    </xf>
    <xf numFmtId="0" fontId="7" fillId="8" borderId="6" xfId="0" applyFont="1" applyFill="1" applyBorder="1" applyAlignment="1"/>
    <xf numFmtId="0" fontId="7" fillId="8" borderId="7" xfId="0" applyFont="1" applyFill="1" applyBorder="1" applyAlignment="1"/>
    <xf numFmtId="0" fontId="0" fillId="13" borderId="0" xfId="0" applyFill="1"/>
    <xf numFmtId="0" fontId="3" fillId="0" borderId="1" xfId="0" applyFont="1" applyBorder="1" applyAlignment="1" applyProtection="1">
      <alignment horizontal="center"/>
      <protection locked="0"/>
    </xf>
    <xf numFmtId="0" fontId="5" fillId="13" borderId="0" xfId="1" applyFont="1" applyFill="1" applyBorder="1" applyProtection="1"/>
    <xf numFmtId="0" fontId="5" fillId="13" borderId="0" xfId="1" applyFont="1" applyFill="1" applyBorder="1" applyAlignment="1" applyProtection="1">
      <alignment horizontal="left" wrapText="1"/>
    </xf>
    <xf numFmtId="0" fontId="4" fillId="7" borderId="5" xfId="1" applyFont="1" applyFill="1" applyBorder="1" applyAlignment="1" applyProtection="1">
      <alignment horizontal="left"/>
    </xf>
    <xf numFmtId="0" fontId="4" fillId="7" borderId="5" xfId="1" applyFont="1" applyFill="1" applyBorder="1" applyAlignment="1" applyProtection="1">
      <alignment wrapText="1"/>
    </xf>
    <xf numFmtId="0" fontId="5" fillId="0" borderId="0" xfId="1" applyFont="1" applyFill="1" applyBorder="1" applyProtection="1"/>
    <xf numFmtId="0" fontId="8" fillId="4" borderId="1" xfId="1" applyFont="1" applyFill="1" applyBorder="1" applyAlignment="1" applyProtection="1">
      <alignment horizontal="center" wrapText="1"/>
    </xf>
    <xf numFmtId="0" fontId="8" fillId="4" borderId="1" xfId="1" applyFont="1" applyFill="1" applyBorder="1" applyAlignment="1" applyProtection="1">
      <alignment horizontal="left" wrapText="1"/>
    </xf>
    <xf numFmtId="0" fontId="8" fillId="12" borderId="1" xfId="1" applyFont="1" applyFill="1" applyBorder="1" applyAlignment="1" applyProtection="1">
      <alignment horizontal="center" wrapText="1"/>
    </xf>
    <xf numFmtId="0" fontId="8" fillId="7" borderId="1" xfId="1" applyFont="1" applyFill="1" applyBorder="1" applyAlignment="1" applyProtection="1">
      <alignment horizontal="center" wrapText="1"/>
    </xf>
    <xf numFmtId="14" fontId="14" fillId="4" borderId="2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Protection="1"/>
    <xf numFmtId="0" fontId="6" fillId="13" borderId="0" xfId="1" applyFont="1" applyFill="1" applyBorder="1" applyProtection="1"/>
    <xf numFmtId="0" fontId="11" fillId="6" borderId="1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wrapText="1"/>
    </xf>
    <xf numFmtId="0" fontId="6" fillId="0" borderId="0" xfId="1" applyFont="1" applyBorder="1" applyProtection="1"/>
    <xf numFmtId="0" fontId="4" fillId="12" borderId="1" xfId="1" applyNumberFormat="1" applyFont="1" applyFill="1" applyBorder="1" applyAlignment="1" applyProtection="1">
      <alignment horizontal="center"/>
    </xf>
    <xf numFmtId="0" fontId="5" fillId="13" borderId="0" xfId="1" applyFont="1" applyFill="1" applyBorder="1" applyAlignment="1" applyProtection="1">
      <alignment horizontal="center" wrapText="1"/>
    </xf>
    <xf numFmtId="0" fontId="5" fillId="13" borderId="0" xfId="1" applyFont="1" applyFill="1" applyBorder="1" applyAlignment="1" applyProtection="1">
      <alignment horizontal="center"/>
    </xf>
    <xf numFmtId="0" fontId="5" fillId="3" borderId="1" xfId="1" applyFont="1" applyFill="1" applyBorder="1" applyAlignment="1" applyProtection="1">
      <alignment horizontal="center"/>
    </xf>
    <xf numFmtId="0" fontId="8" fillId="7" borderId="1" xfId="1" applyFont="1" applyFill="1" applyBorder="1" applyAlignment="1" applyProtection="1">
      <alignment horizontal="center" wrapText="1"/>
    </xf>
    <xf numFmtId="14" fontId="10" fillId="4" borderId="4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Alignment="1" applyProtection="1">
      <alignment horizontal="left" wrapText="1"/>
    </xf>
    <xf numFmtId="0" fontId="5" fillId="0" borderId="0" xfId="1" applyFont="1" applyBorder="1" applyAlignment="1" applyProtection="1">
      <alignment horizontal="center" wrapText="1"/>
    </xf>
    <xf numFmtId="0" fontId="5" fillId="0" borderId="0" xfId="1" applyFont="1" applyBorder="1" applyAlignment="1" applyProtection="1">
      <alignment horizontal="center"/>
    </xf>
    <xf numFmtId="0" fontId="3" fillId="0" borderId="1" xfId="0" applyNumberFormat="1" applyFont="1" applyBorder="1" applyAlignment="1" applyProtection="1">
      <alignment horizontal="center"/>
      <protection locked="0"/>
    </xf>
    <xf numFmtId="0" fontId="8" fillId="4" borderId="4" xfId="1" applyFont="1" applyFill="1" applyBorder="1" applyAlignment="1" applyProtection="1">
      <alignment horizontal="center" wrapText="1"/>
    </xf>
    <xf numFmtId="14" fontId="3" fillId="0" borderId="1" xfId="0" applyNumberFormat="1" applyFont="1" applyFill="1" applyBorder="1" applyAlignment="1" applyProtection="1">
      <alignment horizontal="center"/>
      <protection locked="0"/>
    </xf>
    <xf numFmtId="0" fontId="3" fillId="13" borderId="1" xfId="0" applyNumberFormat="1" applyFont="1" applyFill="1" applyBorder="1" applyAlignment="1" applyProtection="1">
      <alignment horizontal="center"/>
    </xf>
    <xf numFmtId="0" fontId="7" fillId="9" borderId="1" xfId="1" applyFont="1" applyFill="1" applyBorder="1" applyAlignment="1" applyProtection="1">
      <alignment wrapText="1"/>
    </xf>
    <xf numFmtId="0" fontId="5" fillId="9" borderId="1" xfId="1" applyFont="1" applyFill="1" applyBorder="1" applyAlignment="1" applyProtection="1">
      <alignment horizontal="center"/>
    </xf>
    <xf numFmtId="0" fontId="5" fillId="0" borderId="1" xfId="1" applyFont="1" applyFill="1" applyBorder="1" applyAlignment="1" applyProtection="1">
      <alignment horizontal="center" wrapText="1"/>
      <protection locked="0"/>
    </xf>
    <xf numFmtId="0" fontId="13" fillId="0" borderId="1" xfId="1" applyFont="1" applyFill="1" applyBorder="1" applyAlignment="1" applyProtection="1">
      <alignment horizontal="center"/>
      <protection locked="0"/>
    </xf>
    <xf numFmtId="0" fontId="5" fillId="2" borderId="1" xfId="1" applyFont="1" applyFill="1" applyBorder="1" applyAlignment="1" applyProtection="1">
      <alignment horizontal="center"/>
      <protection locked="0"/>
    </xf>
    <xf numFmtId="14" fontId="15" fillId="0" borderId="5" xfId="0" applyNumberFormat="1" applyFont="1" applyFill="1" applyBorder="1" applyAlignment="1" applyProtection="1">
      <alignment textRotation="90"/>
      <protection locked="0"/>
    </xf>
    <xf numFmtId="0" fontId="15" fillId="0" borderId="5" xfId="0" applyFont="1" applyFill="1" applyBorder="1" applyAlignment="1" applyProtection="1">
      <alignment textRotation="90"/>
      <protection locked="0"/>
    </xf>
    <xf numFmtId="0" fontId="10" fillId="4" borderId="4" xfId="0" applyFont="1" applyFill="1" applyBorder="1" applyAlignment="1" applyProtection="1">
      <alignment textRotation="90"/>
    </xf>
    <xf numFmtId="14" fontId="5" fillId="3" borderId="1" xfId="1" applyNumberFormat="1" applyFont="1" applyFill="1" applyBorder="1" applyAlignment="1" applyProtection="1">
      <alignment horizontal="center" wrapText="1"/>
    </xf>
    <xf numFmtId="0" fontId="5" fillId="3" borderId="1" xfId="1" applyFont="1" applyFill="1" applyBorder="1" applyAlignment="1" applyProtection="1">
      <alignment horizontal="center" wrapText="1"/>
    </xf>
    <xf numFmtId="14" fontId="5" fillId="13" borderId="0" xfId="1" applyNumberFormat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wrapText="1"/>
    </xf>
    <xf numFmtId="0" fontId="4" fillId="12" borderId="5" xfId="1" applyFont="1" applyFill="1" applyBorder="1" applyAlignment="1" applyProtection="1">
      <alignment wrapText="1"/>
    </xf>
    <xf numFmtId="0" fontId="4" fillId="11" borderId="4" xfId="1" applyFont="1" applyFill="1" applyBorder="1" applyAlignment="1" applyProtection="1">
      <alignment wrapText="1"/>
    </xf>
    <xf numFmtId="0" fontId="4" fillId="11" borderId="5" xfId="1" applyFont="1" applyFill="1" applyBorder="1" applyAlignment="1" applyProtection="1">
      <alignment wrapText="1"/>
    </xf>
    <xf numFmtId="0" fontId="4" fillId="7" borderId="4" xfId="1" applyFont="1" applyFill="1" applyBorder="1" applyAlignment="1" applyProtection="1">
      <alignment wrapText="1"/>
    </xf>
    <xf numFmtId="0" fontId="8" fillId="12" borderId="1" xfId="1" applyFont="1" applyFill="1" applyBorder="1" applyAlignment="1" applyProtection="1">
      <alignment horizontal="left" wrapText="1"/>
    </xf>
    <xf numFmtId="0" fontId="4" fillId="11" borderId="1" xfId="1" applyFont="1" applyFill="1" applyBorder="1" applyAlignment="1" applyProtection="1">
      <alignment horizontal="center" wrapText="1"/>
    </xf>
    <xf numFmtId="0" fontId="4" fillId="7" borderId="1" xfId="1" applyFont="1" applyFill="1" applyBorder="1" applyAlignment="1" applyProtection="1">
      <alignment horizontal="center" wrapText="1"/>
    </xf>
    <xf numFmtId="0" fontId="9" fillId="8" borderId="7" xfId="0" applyFont="1" applyFill="1" applyBorder="1" applyAlignment="1"/>
    <xf numFmtId="0" fontId="13" fillId="5" borderId="3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horizontal="left" vertical="center" wrapText="1"/>
      <protection locked="0"/>
    </xf>
    <xf numFmtId="0" fontId="5" fillId="0" borderId="1" xfId="1" applyFont="1" applyBorder="1" applyAlignment="1" applyProtection="1">
      <alignment horizontal="left" vertical="center"/>
    </xf>
    <xf numFmtId="0" fontId="5" fillId="5" borderId="11" xfId="1" applyFont="1" applyFill="1" applyBorder="1" applyAlignment="1" applyProtection="1">
      <alignment wrapText="1"/>
      <protection locked="0"/>
    </xf>
    <xf numFmtId="0" fontId="5" fillId="5" borderId="11" xfId="1" applyFont="1" applyFill="1" applyBorder="1" applyAlignment="1" applyProtection="1">
      <alignment horizontal="left" vertical="center" wrapText="1"/>
      <protection locked="0"/>
    </xf>
    <xf numFmtId="0" fontId="5" fillId="5" borderId="10" xfId="1" applyFont="1" applyFill="1" applyBorder="1" applyAlignment="1" applyProtection="1">
      <alignment wrapText="1"/>
      <protection locked="0"/>
    </xf>
    <xf numFmtId="0" fontId="5" fillId="5" borderId="10" xfId="1" applyFont="1" applyFill="1" applyBorder="1" applyAlignment="1" applyProtection="1">
      <alignment horizontal="left" vertical="center" wrapText="1"/>
      <protection locked="0"/>
    </xf>
    <xf numFmtId="0" fontId="5" fillId="0" borderId="10" xfId="1" applyFont="1" applyBorder="1" applyAlignment="1" applyProtection="1">
      <alignment horizontal="left" vertical="center"/>
    </xf>
    <xf numFmtId="14" fontId="3" fillId="0" borderId="11" xfId="0" applyNumberFormat="1" applyFont="1" applyFill="1" applyBorder="1" applyAlignment="1" applyProtection="1">
      <alignment horizontal="center"/>
      <protection locked="0"/>
    </xf>
    <xf numFmtId="0" fontId="3" fillId="0" borderId="11" xfId="0" applyNumberFormat="1" applyFont="1" applyBorder="1" applyAlignment="1" applyProtection="1">
      <alignment horizontal="center"/>
      <protection locked="0"/>
    </xf>
    <xf numFmtId="0" fontId="5" fillId="5" borderId="11" xfId="1" applyFont="1" applyFill="1" applyBorder="1" applyAlignment="1" applyProtection="1">
      <alignment horizontal="center" wrapText="1"/>
      <protection locked="0"/>
    </xf>
    <xf numFmtId="14" fontId="5" fillId="3" borderId="11" xfId="1" applyNumberFormat="1" applyFont="1" applyFill="1" applyBorder="1" applyAlignment="1" applyProtection="1">
      <alignment horizontal="center" wrapText="1"/>
    </xf>
    <xf numFmtId="0" fontId="5" fillId="3" borderId="11" xfId="1" applyFont="1" applyFill="1" applyBorder="1" applyAlignment="1" applyProtection="1">
      <alignment horizontal="center" wrapText="1"/>
    </xf>
    <xf numFmtId="0" fontId="5" fillId="2" borderId="11" xfId="1" applyFont="1" applyFill="1" applyBorder="1" applyAlignment="1" applyProtection="1">
      <alignment horizontal="center"/>
      <protection locked="0"/>
    </xf>
    <xf numFmtId="0" fontId="5" fillId="0" borderId="11" xfId="1" applyFont="1" applyBorder="1" applyProtection="1">
      <protection locked="0"/>
    </xf>
    <xf numFmtId="14" fontId="3" fillId="0" borderId="10" xfId="0" applyNumberFormat="1" applyFont="1" applyFill="1" applyBorder="1" applyAlignment="1" applyProtection="1">
      <alignment horizontal="center"/>
      <protection locked="0"/>
    </xf>
    <xf numFmtId="0" fontId="3" fillId="0" borderId="10" xfId="0" applyNumberFormat="1" applyFont="1" applyBorder="1" applyAlignment="1" applyProtection="1">
      <alignment horizontal="center"/>
      <protection locked="0"/>
    </xf>
    <xf numFmtId="0" fontId="5" fillId="5" borderId="10" xfId="1" applyFont="1" applyFill="1" applyBorder="1" applyAlignment="1" applyProtection="1">
      <alignment horizontal="center" wrapText="1"/>
      <protection locked="0"/>
    </xf>
    <xf numFmtId="14" fontId="5" fillId="3" borderId="10" xfId="1" applyNumberFormat="1" applyFont="1" applyFill="1" applyBorder="1" applyAlignment="1" applyProtection="1">
      <alignment horizontal="center" wrapText="1"/>
    </xf>
    <xf numFmtId="0" fontId="5" fillId="3" borderId="10" xfId="1" applyFont="1" applyFill="1" applyBorder="1" applyAlignment="1" applyProtection="1">
      <alignment horizontal="center" wrapText="1"/>
    </xf>
    <xf numFmtId="0" fontId="5" fillId="2" borderId="10" xfId="1" applyFont="1" applyFill="1" applyBorder="1" applyAlignment="1" applyProtection="1">
      <alignment horizontal="center"/>
      <protection locked="0"/>
    </xf>
    <xf numFmtId="0" fontId="5" fillId="0" borderId="10" xfId="1" applyFont="1" applyBorder="1" applyProtection="1">
      <protection locked="0"/>
    </xf>
    <xf numFmtId="0" fontId="3" fillId="0" borderId="1" xfId="0" applyFont="1" applyBorder="1" applyAlignment="1" applyProtection="1">
      <alignment horizontal="center" wrapText="1"/>
      <protection locked="0"/>
    </xf>
    <xf numFmtId="0" fontId="4" fillId="10" borderId="4" xfId="1" applyFont="1" applyFill="1" applyBorder="1" applyAlignment="1" applyProtection="1">
      <alignment horizontal="left" wrapText="1"/>
    </xf>
    <xf numFmtId="0" fontId="4" fillId="10" borderId="3" xfId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horizontal="center" wrapText="1"/>
    </xf>
    <xf numFmtId="0" fontId="4" fillId="12" borderId="5" xfId="1" applyFont="1" applyFill="1" applyBorder="1" applyAlignment="1" applyProtection="1">
      <alignment horizontal="center" wrapText="1"/>
    </xf>
    <xf numFmtId="0" fontId="4" fillId="12" borderId="3" xfId="1" applyFont="1" applyFill="1" applyBorder="1" applyAlignment="1" applyProtection="1">
      <alignment horizontal="center" wrapText="1"/>
    </xf>
    <xf numFmtId="0" fontId="4" fillId="7" borderId="4" xfId="1" applyFont="1" applyFill="1" applyBorder="1" applyAlignment="1" applyProtection="1">
      <alignment horizontal="center" wrapText="1"/>
    </xf>
    <xf numFmtId="0" fontId="4" fillId="7" borderId="5" xfId="1" applyFont="1" applyFill="1" applyBorder="1" applyAlignment="1" applyProtection="1">
      <alignment horizontal="center" wrapText="1"/>
    </xf>
    <xf numFmtId="0" fontId="4" fillId="7" borderId="3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horizontal="left" wrapText="1"/>
    </xf>
    <xf numFmtId="0" fontId="4" fillId="6" borderId="5" xfId="1" applyFont="1" applyFill="1" applyBorder="1" applyAlignment="1" applyProtection="1">
      <alignment horizontal="left" wrapText="1"/>
    </xf>
    <xf numFmtId="0" fontId="4" fillId="6" borderId="3" xfId="1" applyFont="1" applyFill="1" applyBorder="1" applyAlignment="1" applyProtection="1">
      <alignment horizontal="left" wrapText="1"/>
    </xf>
    <xf numFmtId="0" fontId="8" fillId="12" borderId="4" xfId="1" applyFont="1" applyFill="1" applyBorder="1" applyAlignment="1" applyProtection="1">
      <alignment horizontal="left" wrapText="1"/>
    </xf>
    <xf numFmtId="0" fontId="8" fillId="12" borderId="3" xfId="1" applyFont="1" applyFill="1" applyBorder="1" applyAlignment="1" applyProtection="1">
      <alignment horizontal="left" wrapText="1"/>
    </xf>
  </cellXfs>
  <cellStyles count="4">
    <cellStyle name="Normal" xfId="0" builtinId="0"/>
    <cellStyle name="Normal 2" xfId="1"/>
    <cellStyle name="Normal 3" xfId="2"/>
    <cellStyle name="Percent 2" xfId="3"/>
  </cellStyles>
  <dxfs count="30"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7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286A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Earned Value Analysis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290719630195478"/>
          <c:y val="0.12626359758127706"/>
          <c:w val="0.52507290320053279"/>
          <c:h val="0.66258239843913314"/>
        </c:manualLayout>
      </c:layout>
      <c:lineChart>
        <c:grouping val="standard"/>
        <c:varyColors val="0"/>
        <c:ser>
          <c:idx val="1"/>
          <c:order val="0"/>
          <c:tx>
            <c:strRef>
              <c:f>'Project Tracking'!$C$63</c:f>
              <c:strCache>
                <c:ptCount val="1"/>
                <c:pt idx="0">
                  <c:v>Budget at Completion (BAC)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Tracking'!$N$63:$U$63</c:f>
              <c:numCache>
                <c:formatCode>General</c:formatCode>
                <c:ptCount val="8"/>
                <c:pt idx="0">
                  <c:v>296</c:v>
                </c:pt>
                <c:pt idx="1">
                  <c:v>296</c:v>
                </c:pt>
                <c:pt idx="2">
                  <c:v>296</c:v>
                </c:pt>
                <c:pt idx="3">
                  <c:v>296</c:v>
                </c:pt>
                <c:pt idx="4">
                  <c:v>296</c:v>
                </c:pt>
                <c:pt idx="5">
                  <c:v>296</c:v>
                </c:pt>
                <c:pt idx="6">
                  <c:v>296</c:v>
                </c:pt>
                <c:pt idx="7">
                  <c:v>296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'Project Tracking'!$C$64</c:f>
              <c:strCache>
                <c:ptCount val="1"/>
                <c:pt idx="0">
                  <c:v>Planned Value (PV)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Tracking'!$N$64:$U$64</c:f>
              <c:numCache>
                <c:formatCode>General</c:formatCode>
                <c:ptCount val="8"/>
                <c:pt idx="0">
                  <c:v>0</c:v>
                </c:pt>
                <c:pt idx="1">
                  <c:v>31</c:v>
                </c:pt>
                <c:pt idx="2">
                  <c:v>41.25</c:v>
                </c:pt>
                <c:pt idx="3">
                  <c:v>120.25</c:v>
                </c:pt>
                <c:pt idx="4">
                  <c:v>146.25</c:v>
                </c:pt>
                <c:pt idx="5">
                  <c:v>176.75</c:v>
                </c:pt>
                <c:pt idx="6">
                  <c:v>209.25</c:v>
                </c:pt>
                <c:pt idx="7">
                  <c:v>261.75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'Project Tracking'!$C$65</c:f>
              <c:strCache>
                <c:ptCount val="1"/>
                <c:pt idx="0">
                  <c:v>Earned Value (EV)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Tracking'!$N$65:$U$65</c:f>
              <c:numCache>
                <c:formatCode>General</c:formatCode>
                <c:ptCount val="8"/>
                <c:pt idx="0">
                  <c:v>0</c:v>
                </c:pt>
                <c:pt idx="1">
                  <c:v>18</c:v>
                </c:pt>
                <c:pt idx="2">
                  <c:v>41.25</c:v>
                </c:pt>
                <c:pt idx="3">
                  <c:v>66.25</c:v>
                </c:pt>
                <c:pt idx="4">
                  <c:v>138.25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'Project Tracking'!$C$66</c:f>
              <c:strCache>
                <c:ptCount val="1"/>
                <c:pt idx="0">
                  <c:v>Actual Cost (AC)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Tracking'!$N$66:$U$66</c:f>
              <c:numCache>
                <c:formatCode>General</c:formatCode>
                <c:ptCount val="8"/>
                <c:pt idx="0">
                  <c:v>0</c:v>
                </c:pt>
                <c:pt idx="1">
                  <c:v>33.5</c:v>
                </c:pt>
                <c:pt idx="2">
                  <c:v>51.75</c:v>
                </c:pt>
                <c:pt idx="3">
                  <c:v>76.25</c:v>
                </c:pt>
                <c:pt idx="4">
                  <c:v>116.25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675632"/>
        <c:axId val="125674000"/>
      </c:lineChart>
      <c:catAx>
        <c:axId val="1256756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25674000"/>
        <c:crosses val="autoZero"/>
        <c:auto val="0"/>
        <c:lblAlgn val="ctr"/>
        <c:lblOffset val="100"/>
        <c:noMultiLvlLbl val="0"/>
      </c:catAx>
      <c:valAx>
        <c:axId val="12567400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Effort (man-hour)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56756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212724</xdr:colOff>
      <xdr:row>0</xdr:row>
      <xdr:rowOff>111123</xdr:rowOff>
    </xdr:from>
    <xdr:to>
      <xdr:col>12</xdr:col>
      <xdr:colOff>123825</xdr:colOff>
      <xdr:row>18</xdr:row>
      <xdr:rowOff>112182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48"/>
  <sheetViews>
    <sheetView showGridLines="0" topLeftCell="A16" zoomScaleNormal="100" workbookViewId="0">
      <selection activeCell="B20" sqref="B20"/>
    </sheetView>
  </sheetViews>
  <sheetFormatPr defaultColWidth="9.140625" defaultRowHeight="12.75" x14ac:dyDescent="0.2"/>
  <cols>
    <col min="1" max="1" width="3.85546875" style="2" customWidth="1"/>
    <col min="2" max="2" width="163.5703125" style="2" bestFit="1" customWidth="1"/>
    <col min="3" max="4" width="9.140625" style="2"/>
    <col min="5" max="8" width="10.140625" style="2" bestFit="1" customWidth="1"/>
    <col min="9" max="16384" width="9.140625" style="2"/>
  </cols>
  <sheetData>
    <row r="1" spans="2:2" ht="13.5" thickBot="1" x14ac:dyDescent="0.25"/>
    <row r="2" spans="2:2" ht="13.5" thickBot="1" x14ac:dyDescent="0.25">
      <c r="B2" s="9" t="s">
        <v>25</v>
      </c>
    </row>
    <row r="3" spans="2:2" x14ac:dyDescent="0.2">
      <c r="B3" s="14"/>
    </row>
    <row r="4" spans="2:2" x14ac:dyDescent="0.2">
      <c r="B4" s="15" t="s">
        <v>40</v>
      </c>
    </row>
    <row r="5" spans="2:2" x14ac:dyDescent="0.2">
      <c r="B5" s="7" t="s">
        <v>41</v>
      </c>
    </row>
    <row r="6" spans="2:2" x14ac:dyDescent="0.2">
      <c r="B6" s="7" t="s">
        <v>42</v>
      </c>
    </row>
    <row r="7" spans="2:2" x14ac:dyDescent="0.2">
      <c r="B7" s="7" t="s">
        <v>62</v>
      </c>
    </row>
    <row r="8" spans="2:2" x14ac:dyDescent="0.2">
      <c r="B8" s="7" t="s">
        <v>43</v>
      </c>
    </row>
    <row r="9" spans="2:2" x14ac:dyDescent="0.2">
      <c r="B9" s="7" t="s">
        <v>44</v>
      </c>
    </row>
    <row r="10" spans="2:2" x14ac:dyDescent="0.2">
      <c r="B10" s="7" t="s">
        <v>45</v>
      </c>
    </row>
    <row r="11" spans="2:2" x14ac:dyDescent="0.2">
      <c r="B11" s="7" t="s">
        <v>46</v>
      </c>
    </row>
    <row r="12" spans="2:2" x14ac:dyDescent="0.2">
      <c r="B12" s="7" t="s">
        <v>47</v>
      </c>
    </row>
    <row r="13" spans="2:2" x14ac:dyDescent="0.2">
      <c r="B13" s="7"/>
    </row>
    <row r="14" spans="2:2" x14ac:dyDescent="0.2">
      <c r="B14" s="15" t="s">
        <v>30</v>
      </c>
    </row>
    <row r="15" spans="2:2" x14ac:dyDescent="0.2">
      <c r="B15" s="7" t="s">
        <v>37</v>
      </c>
    </row>
    <row r="16" spans="2:2" x14ac:dyDescent="0.2">
      <c r="B16" s="7" t="s">
        <v>57</v>
      </c>
    </row>
    <row r="17" spans="2:2" x14ac:dyDescent="0.2">
      <c r="B17" s="7" t="s">
        <v>38</v>
      </c>
    </row>
    <row r="18" spans="2:2" x14ac:dyDescent="0.2">
      <c r="B18" s="7" t="s">
        <v>39</v>
      </c>
    </row>
    <row r="19" spans="2:2" x14ac:dyDescent="0.2">
      <c r="B19" s="7" t="s">
        <v>63</v>
      </c>
    </row>
    <row r="20" spans="2:2" x14ac:dyDescent="0.2">
      <c r="B20" s="7" t="s">
        <v>64</v>
      </c>
    </row>
    <row r="21" spans="2:2" x14ac:dyDescent="0.2">
      <c r="B21" s="7" t="s">
        <v>48</v>
      </c>
    </row>
    <row r="22" spans="2:2" x14ac:dyDescent="0.2">
      <c r="B22" s="7"/>
    </row>
    <row r="23" spans="2:2" x14ac:dyDescent="0.2">
      <c r="B23" s="66" t="s">
        <v>68</v>
      </c>
    </row>
    <row r="24" spans="2:2" x14ac:dyDescent="0.2">
      <c r="B24" s="7"/>
    </row>
    <row r="25" spans="2:2" x14ac:dyDescent="0.2">
      <c r="B25" s="15" t="s">
        <v>14</v>
      </c>
    </row>
    <row r="26" spans="2:2" x14ac:dyDescent="0.2">
      <c r="B26" s="7" t="s">
        <v>65</v>
      </c>
    </row>
    <row r="27" spans="2:2" x14ac:dyDescent="0.2">
      <c r="B27" s="7" t="s">
        <v>66</v>
      </c>
    </row>
    <row r="28" spans="2:2" x14ac:dyDescent="0.2">
      <c r="B28" s="7" t="s">
        <v>33</v>
      </c>
    </row>
    <row r="29" spans="2:2" x14ac:dyDescent="0.2">
      <c r="B29" s="7" t="s">
        <v>49</v>
      </c>
    </row>
    <row r="30" spans="2:2" x14ac:dyDescent="0.2">
      <c r="B30" s="7"/>
    </row>
    <row r="31" spans="2:2" x14ac:dyDescent="0.2">
      <c r="B31" s="15" t="s">
        <v>29</v>
      </c>
    </row>
    <row r="32" spans="2:2" x14ac:dyDescent="0.2">
      <c r="B32" s="7" t="s">
        <v>50</v>
      </c>
    </row>
    <row r="33" spans="2:2" x14ac:dyDescent="0.2">
      <c r="B33" s="7" t="s">
        <v>67</v>
      </c>
    </row>
    <row r="34" spans="2:2" x14ac:dyDescent="0.2">
      <c r="B34" s="7" t="s">
        <v>52</v>
      </c>
    </row>
    <row r="35" spans="2:2" x14ac:dyDescent="0.2">
      <c r="B35" s="7" t="s">
        <v>51</v>
      </c>
    </row>
    <row r="36" spans="2:2" x14ac:dyDescent="0.2">
      <c r="B36" s="7" t="s">
        <v>53</v>
      </c>
    </row>
    <row r="37" spans="2:2" x14ac:dyDescent="0.2">
      <c r="B37" s="7" t="s">
        <v>56</v>
      </c>
    </row>
    <row r="38" spans="2:2" x14ac:dyDescent="0.2">
      <c r="B38" s="7" t="s">
        <v>54</v>
      </c>
    </row>
    <row r="39" spans="2:2" ht="13.5" thickBot="1" x14ac:dyDescent="0.25">
      <c r="B39" s="8"/>
    </row>
    <row r="40" spans="2:2" ht="13.5" thickBot="1" x14ac:dyDescent="0.25"/>
    <row r="41" spans="2:2" x14ac:dyDescent="0.2">
      <c r="B41" s="9" t="s">
        <v>22</v>
      </c>
    </row>
    <row r="42" spans="2:2" x14ac:dyDescent="0.2">
      <c r="B42" s="10" t="s">
        <v>55</v>
      </c>
    </row>
    <row r="43" spans="2:2" x14ac:dyDescent="0.2">
      <c r="B43" s="11" t="s">
        <v>34</v>
      </c>
    </row>
    <row r="44" spans="2:2" x14ac:dyDescent="0.2">
      <c r="B44" s="12" t="s">
        <v>24</v>
      </c>
    </row>
    <row r="45" spans="2:2" x14ac:dyDescent="0.2">
      <c r="B45" s="11" t="s">
        <v>35</v>
      </c>
    </row>
    <row r="46" spans="2:2" x14ac:dyDescent="0.2">
      <c r="B46" s="11" t="s">
        <v>23</v>
      </c>
    </row>
    <row r="47" spans="2:2" ht="13.5" thickBot="1" x14ac:dyDescent="0.25">
      <c r="B47" s="13" t="s">
        <v>36</v>
      </c>
    </row>
    <row r="48" spans="2:2" x14ac:dyDescent="0.2">
      <c r="B48" s="1"/>
    </row>
  </sheetData>
  <sheetProtection sheet="1" objects="1" scenarios="1" selectLockedCells="1" selectUnlockedCells="1"/>
  <customSheetViews>
    <customSheetView guid="{5C9AFCBE-E352-4226-8750-F441413CCE21}" topLeftCell="A4">
      <selection activeCell="B25" sqref="B2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H81"/>
  <sheetViews>
    <sheetView showGridLines="0" tabSelected="1" zoomScaleNormal="100" workbookViewId="0">
      <pane xSplit="6" ySplit="2" topLeftCell="H28" activePane="bottomRight" state="frozen"/>
      <selection pane="topRight" activeCell="F1" sqref="F1"/>
      <selection pane="bottomLeft" activeCell="A3" sqref="A3"/>
      <selection pane="bottomRight" activeCell="T33" sqref="T33"/>
    </sheetView>
  </sheetViews>
  <sheetFormatPr defaultRowHeight="12.75" x14ac:dyDescent="0.2"/>
  <cols>
    <col min="1" max="1" width="1.42578125" style="28" customWidth="1"/>
    <col min="2" max="2" width="4.42578125" style="28" customWidth="1"/>
    <col min="3" max="3" width="13" style="40" customWidth="1"/>
    <col min="4" max="4" width="24.85546875" style="40" customWidth="1"/>
    <col min="5" max="5" width="19.7109375" style="40" customWidth="1"/>
    <col min="6" max="6" width="12.5703125" style="40" customWidth="1"/>
    <col min="7" max="8" width="11.28515625" style="40" customWidth="1"/>
    <col min="9" max="11" width="8.7109375" style="40" customWidth="1"/>
    <col min="12" max="12" width="11.28515625" style="41" bestFit="1" customWidth="1"/>
    <col min="13" max="13" width="11.28515625" style="41" customWidth="1"/>
    <col min="14" max="14" width="8.7109375" style="41" customWidth="1"/>
    <col min="15" max="15" width="4.85546875" style="42" customWidth="1"/>
    <col min="16" max="23" width="4.85546875" style="28" customWidth="1"/>
    <col min="24" max="24" width="43.42578125" style="28" customWidth="1"/>
    <col min="25" max="33" width="2.85546875" style="28" customWidth="1"/>
    <col min="34" max="189" width="9.140625" style="28"/>
    <col min="190" max="190" width="40.7109375" style="28" customWidth="1"/>
    <col min="191" max="191" width="10.7109375" style="28" customWidth="1"/>
    <col min="192" max="201" width="12.7109375" style="28" customWidth="1"/>
    <col min="202" max="445" width="9.140625" style="28"/>
    <col min="446" max="446" width="40.7109375" style="28" customWidth="1"/>
    <col min="447" max="447" width="10.7109375" style="28" customWidth="1"/>
    <col min="448" max="457" width="12.7109375" style="28" customWidth="1"/>
    <col min="458" max="701" width="9.140625" style="28"/>
    <col min="702" max="702" width="40.7109375" style="28" customWidth="1"/>
    <col min="703" max="703" width="10.7109375" style="28" customWidth="1"/>
    <col min="704" max="713" width="12.7109375" style="28" customWidth="1"/>
    <col min="714" max="957" width="9.140625" style="28"/>
    <col min="958" max="958" width="40.7109375" style="28" customWidth="1"/>
    <col min="959" max="959" width="10.7109375" style="28" customWidth="1"/>
    <col min="960" max="969" width="12.7109375" style="28" customWidth="1"/>
    <col min="970" max="1213" width="9.140625" style="28"/>
    <col min="1214" max="1214" width="40.7109375" style="28" customWidth="1"/>
    <col min="1215" max="1215" width="10.7109375" style="28" customWidth="1"/>
    <col min="1216" max="1225" width="12.7109375" style="28" customWidth="1"/>
    <col min="1226" max="1469" width="9.140625" style="28"/>
    <col min="1470" max="1470" width="40.7109375" style="28" customWidth="1"/>
    <col min="1471" max="1471" width="10.7109375" style="28" customWidth="1"/>
    <col min="1472" max="1481" width="12.7109375" style="28" customWidth="1"/>
    <col min="1482" max="1725" width="9.140625" style="28"/>
    <col min="1726" max="1726" width="40.7109375" style="28" customWidth="1"/>
    <col min="1727" max="1727" width="10.7109375" style="28" customWidth="1"/>
    <col min="1728" max="1737" width="12.7109375" style="28" customWidth="1"/>
    <col min="1738" max="1981" width="9.140625" style="28"/>
    <col min="1982" max="1982" width="40.7109375" style="28" customWidth="1"/>
    <col min="1983" max="1983" width="10.7109375" style="28" customWidth="1"/>
    <col min="1984" max="1993" width="12.7109375" style="28" customWidth="1"/>
    <col min="1994" max="2237" width="9.140625" style="28"/>
    <col min="2238" max="2238" width="40.7109375" style="28" customWidth="1"/>
    <col min="2239" max="2239" width="10.7109375" style="28" customWidth="1"/>
    <col min="2240" max="2249" width="12.7109375" style="28" customWidth="1"/>
    <col min="2250" max="2493" width="9.140625" style="28"/>
    <col min="2494" max="2494" width="40.7109375" style="28" customWidth="1"/>
    <col min="2495" max="2495" width="10.7109375" style="28" customWidth="1"/>
    <col min="2496" max="2505" width="12.7109375" style="28" customWidth="1"/>
    <col min="2506" max="2749" width="9.140625" style="28"/>
    <col min="2750" max="2750" width="40.7109375" style="28" customWidth="1"/>
    <col min="2751" max="2751" width="10.7109375" style="28" customWidth="1"/>
    <col min="2752" max="2761" width="12.7109375" style="28" customWidth="1"/>
    <col min="2762" max="3005" width="9.140625" style="28"/>
    <col min="3006" max="3006" width="40.7109375" style="28" customWidth="1"/>
    <col min="3007" max="3007" width="10.7109375" style="28" customWidth="1"/>
    <col min="3008" max="3017" width="12.7109375" style="28" customWidth="1"/>
    <col min="3018" max="3261" width="9.140625" style="28"/>
    <col min="3262" max="3262" width="40.7109375" style="28" customWidth="1"/>
    <col min="3263" max="3263" width="10.7109375" style="28" customWidth="1"/>
    <col min="3264" max="3273" width="12.7109375" style="28" customWidth="1"/>
    <col min="3274" max="3517" width="9.140625" style="28"/>
    <col min="3518" max="3518" width="40.7109375" style="28" customWidth="1"/>
    <col min="3519" max="3519" width="10.7109375" style="28" customWidth="1"/>
    <col min="3520" max="3529" width="12.7109375" style="28" customWidth="1"/>
    <col min="3530" max="3773" width="9.140625" style="28"/>
    <col min="3774" max="3774" width="40.7109375" style="28" customWidth="1"/>
    <col min="3775" max="3775" width="10.7109375" style="28" customWidth="1"/>
    <col min="3776" max="3785" width="12.7109375" style="28" customWidth="1"/>
    <col min="3786" max="4029" width="9.140625" style="28"/>
    <col min="4030" max="4030" width="40.7109375" style="28" customWidth="1"/>
    <col min="4031" max="4031" width="10.7109375" style="28" customWidth="1"/>
    <col min="4032" max="4041" width="12.7109375" style="28" customWidth="1"/>
    <col min="4042" max="4285" width="9.140625" style="28"/>
    <col min="4286" max="4286" width="40.7109375" style="28" customWidth="1"/>
    <col min="4287" max="4287" width="10.7109375" style="28" customWidth="1"/>
    <col min="4288" max="4297" width="12.7109375" style="28" customWidth="1"/>
    <col min="4298" max="4541" width="9.140625" style="28"/>
    <col min="4542" max="4542" width="40.7109375" style="28" customWidth="1"/>
    <col min="4543" max="4543" width="10.7109375" style="28" customWidth="1"/>
    <col min="4544" max="4553" width="12.7109375" style="28" customWidth="1"/>
    <col min="4554" max="4797" width="9.140625" style="28"/>
    <col min="4798" max="4798" width="40.7109375" style="28" customWidth="1"/>
    <col min="4799" max="4799" width="10.7109375" style="28" customWidth="1"/>
    <col min="4800" max="4809" width="12.7109375" style="28" customWidth="1"/>
    <col min="4810" max="5053" width="9.140625" style="28"/>
    <col min="5054" max="5054" width="40.7109375" style="28" customWidth="1"/>
    <col min="5055" max="5055" width="10.7109375" style="28" customWidth="1"/>
    <col min="5056" max="5065" width="12.7109375" style="28" customWidth="1"/>
    <col min="5066" max="5309" width="9.140625" style="28"/>
    <col min="5310" max="5310" width="40.7109375" style="28" customWidth="1"/>
    <col min="5311" max="5311" width="10.7109375" style="28" customWidth="1"/>
    <col min="5312" max="5321" width="12.7109375" style="28" customWidth="1"/>
    <col min="5322" max="5565" width="9.140625" style="28"/>
    <col min="5566" max="5566" width="40.7109375" style="28" customWidth="1"/>
    <col min="5567" max="5567" width="10.7109375" style="28" customWidth="1"/>
    <col min="5568" max="5577" width="12.7109375" style="28" customWidth="1"/>
    <col min="5578" max="5821" width="9.140625" style="28"/>
    <col min="5822" max="5822" width="40.7109375" style="28" customWidth="1"/>
    <col min="5823" max="5823" width="10.7109375" style="28" customWidth="1"/>
    <col min="5824" max="5833" width="12.7109375" style="28" customWidth="1"/>
    <col min="5834" max="6077" width="9.140625" style="28"/>
    <col min="6078" max="6078" width="40.7109375" style="28" customWidth="1"/>
    <col min="6079" max="6079" width="10.7109375" style="28" customWidth="1"/>
    <col min="6080" max="6089" width="12.7109375" style="28" customWidth="1"/>
    <col min="6090" max="6333" width="9.140625" style="28"/>
    <col min="6334" max="6334" width="40.7109375" style="28" customWidth="1"/>
    <col min="6335" max="6335" width="10.7109375" style="28" customWidth="1"/>
    <col min="6336" max="6345" width="12.7109375" style="28" customWidth="1"/>
    <col min="6346" max="6589" width="9.140625" style="28"/>
    <col min="6590" max="6590" width="40.7109375" style="28" customWidth="1"/>
    <col min="6591" max="6591" width="10.7109375" style="28" customWidth="1"/>
    <col min="6592" max="6601" width="12.7109375" style="28" customWidth="1"/>
    <col min="6602" max="6845" width="9.140625" style="28"/>
    <col min="6846" max="6846" width="40.7109375" style="28" customWidth="1"/>
    <col min="6847" max="6847" width="10.7109375" style="28" customWidth="1"/>
    <col min="6848" max="6857" width="12.7109375" style="28" customWidth="1"/>
    <col min="6858" max="7101" width="9.140625" style="28"/>
    <col min="7102" max="7102" width="40.7109375" style="28" customWidth="1"/>
    <col min="7103" max="7103" width="10.7109375" style="28" customWidth="1"/>
    <col min="7104" max="7113" width="12.7109375" style="28" customWidth="1"/>
    <col min="7114" max="7357" width="9.140625" style="28"/>
    <col min="7358" max="7358" width="40.7109375" style="28" customWidth="1"/>
    <col min="7359" max="7359" width="10.7109375" style="28" customWidth="1"/>
    <col min="7360" max="7369" width="12.7109375" style="28" customWidth="1"/>
    <col min="7370" max="7613" width="9.140625" style="28"/>
    <col min="7614" max="7614" width="40.7109375" style="28" customWidth="1"/>
    <col min="7615" max="7615" width="10.7109375" style="28" customWidth="1"/>
    <col min="7616" max="7625" width="12.7109375" style="28" customWidth="1"/>
    <col min="7626" max="7869" width="9.140625" style="28"/>
    <col min="7870" max="7870" width="40.7109375" style="28" customWidth="1"/>
    <col min="7871" max="7871" width="10.7109375" style="28" customWidth="1"/>
    <col min="7872" max="7881" width="12.7109375" style="28" customWidth="1"/>
    <col min="7882" max="8125" width="9.140625" style="28"/>
    <col min="8126" max="8126" width="40.7109375" style="28" customWidth="1"/>
    <col min="8127" max="8127" width="10.7109375" style="28" customWidth="1"/>
    <col min="8128" max="8137" width="12.7109375" style="28" customWidth="1"/>
    <col min="8138" max="8381" width="9.140625" style="28"/>
    <col min="8382" max="8382" width="40.7109375" style="28" customWidth="1"/>
    <col min="8383" max="8383" width="10.7109375" style="28" customWidth="1"/>
    <col min="8384" max="8393" width="12.7109375" style="28" customWidth="1"/>
    <col min="8394" max="8637" width="9.140625" style="28"/>
    <col min="8638" max="8638" width="40.7109375" style="28" customWidth="1"/>
    <col min="8639" max="8639" width="10.7109375" style="28" customWidth="1"/>
    <col min="8640" max="8649" width="12.7109375" style="28" customWidth="1"/>
    <col min="8650" max="8893" width="9.140625" style="28"/>
    <col min="8894" max="8894" width="40.7109375" style="28" customWidth="1"/>
    <col min="8895" max="8895" width="10.7109375" style="28" customWidth="1"/>
    <col min="8896" max="8905" width="12.7109375" style="28" customWidth="1"/>
    <col min="8906" max="9149" width="9.140625" style="28"/>
    <col min="9150" max="9150" width="40.7109375" style="28" customWidth="1"/>
    <col min="9151" max="9151" width="10.7109375" style="28" customWidth="1"/>
    <col min="9152" max="9161" width="12.7109375" style="28" customWidth="1"/>
    <col min="9162" max="9405" width="9.140625" style="28"/>
    <col min="9406" max="9406" width="40.7109375" style="28" customWidth="1"/>
    <col min="9407" max="9407" width="10.7109375" style="28" customWidth="1"/>
    <col min="9408" max="9417" width="12.7109375" style="28" customWidth="1"/>
    <col min="9418" max="9661" width="9.140625" style="28"/>
    <col min="9662" max="9662" width="40.7109375" style="28" customWidth="1"/>
    <col min="9663" max="9663" width="10.7109375" style="28" customWidth="1"/>
    <col min="9664" max="9673" width="12.7109375" style="28" customWidth="1"/>
    <col min="9674" max="9917" width="9.140625" style="28"/>
    <col min="9918" max="9918" width="40.7109375" style="28" customWidth="1"/>
    <col min="9919" max="9919" width="10.7109375" style="28" customWidth="1"/>
    <col min="9920" max="9929" width="12.7109375" style="28" customWidth="1"/>
    <col min="9930" max="10173" width="9.140625" style="28"/>
    <col min="10174" max="10174" width="40.7109375" style="28" customWidth="1"/>
    <col min="10175" max="10175" width="10.7109375" style="28" customWidth="1"/>
    <col min="10176" max="10185" width="12.7109375" style="28" customWidth="1"/>
    <col min="10186" max="10429" width="9.140625" style="28"/>
    <col min="10430" max="10430" width="40.7109375" style="28" customWidth="1"/>
    <col min="10431" max="10431" width="10.7109375" style="28" customWidth="1"/>
    <col min="10432" max="10441" width="12.7109375" style="28" customWidth="1"/>
    <col min="10442" max="10685" width="9.140625" style="28"/>
    <col min="10686" max="10686" width="40.7109375" style="28" customWidth="1"/>
    <col min="10687" max="10687" width="10.7109375" style="28" customWidth="1"/>
    <col min="10688" max="10697" width="12.7109375" style="28" customWidth="1"/>
    <col min="10698" max="10941" width="9.140625" style="28"/>
    <col min="10942" max="10942" width="40.7109375" style="28" customWidth="1"/>
    <col min="10943" max="10943" width="10.7109375" style="28" customWidth="1"/>
    <col min="10944" max="10953" width="12.7109375" style="28" customWidth="1"/>
    <col min="10954" max="11197" width="9.140625" style="28"/>
    <col min="11198" max="11198" width="40.7109375" style="28" customWidth="1"/>
    <col min="11199" max="11199" width="10.7109375" style="28" customWidth="1"/>
    <col min="11200" max="11209" width="12.7109375" style="28" customWidth="1"/>
    <col min="11210" max="11453" width="9.140625" style="28"/>
    <col min="11454" max="11454" width="40.7109375" style="28" customWidth="1"/>
    <col min="11455" max="11455" width="10.7109375" style="28" customWidth="1"/>
    <col min="11456" max="11465" width="12.7109375" style="28" customWidth="1"/>
    <col min="11466" max="11709" width="9.140625" style="28"/>
    <col min="11710" max="11710" width="40.7109375" style="28" customWidth="1"/>
    <col min="11711" max="11711" width="10.7109375" style="28" customWidth="1"/>
    <col min="11712" max="11721" width="12.7109375" style="28" customWidth="1"/>
    <col min="11722" max="11965" width="9.140625" style="28"/>
    <col min="11966" max="11966" width="40.7109375" style="28" customWidth="1"/>
    <col min="11967" max="11967" width="10.7109375" style="28" customWidth="1"/>
    <col min="11968" max="11977" width="12.7109375" style="28" customWidth="1"/>
    <col min="11978" max="12221" width="9.140625" style="28"/>
    <col min="12222" max="12222" width="40.7109375" style="28" customWidth="1"/>
    <col min="12223" max="12223" width="10.7109375" style="28" customWidth="1"/>
    <col min="12224" max="12233" width="12.7109375" style="28" customWidth="1"/>
    <col min="12234" max="12477" width="9.140625" style="28"/>
    <col min="12478" max="12478" width="40.7109375" style="28" customWidth="1"/>
    <col min="12479" max="12479" width="10.7109375" style="28" customWidth="1"/>
    <col min="12480" max="12489" width="12.7109375" style="28" customWidth="1"/>
    <col min="12490" max="12733" width="9.140625" style="28"/>
    <col min="12734" max="12734" width="40.7109375" style="28" customWidth="1"/>
    <col min="12735" max="12735" width="10.7109375" style="28" customWidth="1"/>
    <col min="12736" max="12745" width="12.7109375" style="28" customWidth="1"/>
    <col min="12746" max="12989" width="9.140625" style="28"/>
    <col min="12990" max="12990" width="40.7109375" style="28" customWidth="1"/>
    <col min="12991" max="12991" width="10.7109375" style="28" customWidth="1"/>
    <col min="12992" max="13001" width="12.7109375" style="28" customWidth="1"/>
    <col min="13002" max="13245" width="9.140625" style="28"/>
    <col min="13246" max="13246" width="40.7109375" style="28" customWidth="1"/>
    <col min="13247" max="13247" width="10.7109375" style="28" customWidth="1"/>
    <col min="13248" max="13257" width="12.7109375" style="28" customWidth="1"/>
    <col min="13258" max="13501" width="9.140625" style="28"/>
    <col min="13502" max="13502" width="40.7109375" style="28" customWidth="1"/>
    <col min="13503" max="13503" width="10.7109375" style="28" customWidth="1"/>
    <col min="13504" max="13513" width="12.7109375" style="28" customWidth="1"/>
    <col min="13514" max="13757" width="9.140625" style="28"/>
    <col min="13758" max="13758" width="40.7109375" style="28" customWidth="1"/>
    <col min="13759" max="13759" width="10.7109375" style="28" customWidth="1"/>
    <col min="13760" max="13769" width="12.7109375" style="28" customWidth="1"/>
    <col min="13770" max="14013" width="9.140625" style="28"/>
    <col min="14014" max="14014" width="40.7109375" style="28" customWidth="1"/>
    <col min="14015" max="14015" width="10.7109375" style="28" customWidth="1"/>
    <col min="14016" max="14025" width="12.7109375" style="28" customWidth="1"/>
    <col min="14026" max="14269" width="9.140625" style="28"/>
    <col min="14270" max="14270" width="40.7109375" style="28" customWidth="1"/>
    <col min="14271" max="14271" width="10.7109375" style="28" customWidth="1"/>
    <col min="14272" max="14281" width="12.7109375" style="28" customWidth="1"/>
    <col min="14282" max="14525" width="9.140625" style="28"/>
    <col min="14526" max="14526" width="40.7109375" style="28" customWidth="1"/>
    <col min="14527" max="14527" width="10.7109375" style="28" customWidth="1"/>
    <col min="14528" max="14537" width="12.7109375" style="28" customWidth="1"/>
    <col min="14538" max="14781" width="9.140625" style="28"/>
    <col min="14782" max="14782" width="40.7109375" style="28" customWidth="1"/>
    <col min="14783" max="14783" width="10.7109375" style="28" customWidth="1"/>
    <col min="14784" max="14793" width="12.7109375" style="28" customWidth="1"/>
    <col min="14794" max="15037" width="9.140625" style="28"/>
    <col min="15038" max="15038" width="40.7109375" style="28" customWidth="1"/>
    <col min="15039" max="15039" width="10.7109375" style="28" customWidth="1"/>
    <col min="15040" max="15049" width="12.7109375" style="28" customWidth="1"/>
    <col min="15050" max="15293" width="9.140625" style="28"/>
    <col min="15294" max="15294" width="40.7109375" style="28" customWidth="1"/>
    <col min="15295" max="15295" width="10.7109375" style="28" customWidth="1"/>
    <col min="15296" max="15305" width="12.7109375" style="28" customWidth="1"/>
    <col min="15306" max="15549" width="9.140625" style="28"/>
    <col min="15550" max="15550" width="40.7109375" style="28" customWidth="1"/>
    <col min="15551" max="15551" width="10.7109375" style="28" customWidth="1"/>
    <col min="15552" max="15561" width="12.7109375" style="28" customWidth="1"/>
    <col min="15562" max="15805" width="9.140625" style="28"/>
    <col min="15806" max="15806" width="40.7109375" style="28" customWidth="1"/>
    <col min="15807" max="15807" width="10.7109375" style="28" customWidth="1"/>
    <col min="15808" max="15817" width="12.7109375" style="28" customWidth="1"/>
    <col min="15818" max="16061" width="9.140625" style="28"/>
    <col min="16062" max="16062" width="40.7109375" style="28" customWidth="1"/>
    <col min="16063" max="16063" width="10.7109375" style="28" customWidth="1"/>
    <col min="16064" max="16073" width="12.7109375" style="28" customWidth="1"/>
    <col min="16074" max="16384" width="9.140625" style="28"/>
  </cols>
  <sheetData>
    <row r="1" spans="1:34" s="22" customFormat="1" ht="12.75" customHeight="1" x14ac:dyDescent="0.2">
      <c r="A1" s="18"/>
      <c r="B1" s="18"/>
      <c r="C1" s="19"/>
      <c r="D1" s="19"/>
      <c r="E1" s="19"/>
      <c r="F1" s="19"/>
      <c r="G1" s="92" t="s">
        <v>9</v>
      </c>
      <c r="H1" s="93"/>
      <c r="I1" s="93"/>
      <c r="J1" s="93"/>
      <c r="K1" s="94"/>
      <c r="L1" s="95" t="s">
        <v>11</v>
      </c>
      <c r="M1" s="96"/>
      <c r="N1" s="97"/>
      <c r="O1" s="20" t="s">
        <v>21</v>
      </c>
      <c r="P1" s="21"/>
      <c r="Q1" s="21"/>
      <c r="R1" s="21"/>
      <c r="S1" s="21"/>
      <c r="T1" s="21"/>
      <c r="U1" s="21"/>
      <c r="V1" s="21"/>
      <c r="W1" s="21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51" x14ac:dyDescent="0.2">
      <c r="A2" s="18"/>
      <c r="B2" s="23" t="s">
        <v>1</v>
      </c>
      <c r="C2" s="24" t="s">
        <v>2</v>
      </c>
      <c r="D2" s="24" t="s">
        <v>3</v>
      </c>
      <c r="E2" s="24" t="s">
        <v>4</v>
      </c>
      <c r="F2" s="23" t="s">
        <v>5</v>
      </c>
      <c r="G2" s="25" t="s">
        <v>6</v>
      </c>
      <c r="H2" s="25" t="s">
        <v>10</v>
      </c>
      <c r="I2" s="25" t="s">
        <v>28</v>
      </c>
      <c r="J2" s="25" t="s">
        <v>58</v>
      </c>
      <c r="K2" s="25" t="s">
        <v>26</v>
      </c>
      <c r="L2" s="26" t="s">
        <v>12</v>
      </c>
      <c r="M2" s="26" t="s">
        <v>8</v>
      </c>
      <c r="N2" s="38" t="s">
        <v>27</v>
      </c>
      <c r="O2" s="27">
        <f>IF(ISBLANK($G$3),40179,G3)</f>
        <v>41372</v>
      </c>
      <c r="P2" s="27">
        <f t="shared" ref="P2:W2" si="0">O2+7+ISNUMBER(MATCH(O2+7,$Z$2:$AG$2,0))*7</f>
        <v>41379</v>
      </c>
      <c r="Q2" s="27">
        <f t="shared" si="0"/>
        <v>41386</v>
      </c>
      <c r="R2" s="27">
        <f t="shared" si="0"/>
        <v>41393</v>
      </c>
      <c r="S2" s="27">
        <f t="shared" si="0"/>
        <v>41407</v>
      </c>
      <c r="T2" s="27">
        <f t="shared" si="0"/>
        <v>41414</v>
      </c>
      <c r="U2" s="27">
        <f t="shared" si="0"/>
        <v>41421</v>
      </c>
      <c r="V2" s="27">
        <f t="shared" si="0"/>
        <v>41428</v>
      </c>
      <c r="W2" s="27">
        <f t="shared" si="0"/>
        <v>41435</v>
      </c>
      <c r="X2" s="44" t="s">
        <v>13</v>
      </c>
      <c r="Y2" s="54" t="s">
        <v>16</v>
      </c>
      <c r="Z2" s="52">
        <v>41400</v>
      </c>
      <c r="AA2" s="52"/>
      <c r="AB2" s="52"/>
      <c r="AC2" s="52"/>
      <c r="AD2" s="52"/>
      <c r="AE2" s="52"/>
      <c r="AF2" s="52"/>
      <c r="AG2" s="53"/>
      <c r="AH2" s="18"/>
    </row>
    <row r="3" spans="1:34" ht="39" customHeight="1" x14ac:dyDescent="0.2">
      <c r="A3" s="18"/>
      <c r="B3" s="4">
        <v>1</v>
      </c>
      <c r="C3" s="68" t="s">
        <v>69</v>
      </c>
      <c r="D3" s="68" t="s">
        <v>70</v>
      </c>
      <c r="E3" s="68" t="s">
        <v>17</v>
      </c>
      <c r="F3" s="89"/>
      <c r="G3" s="45">
        <v>41372</v>
      </c>
      <c r="H3" s="45">
        <v>41379</v>
      </c>
      <c r="I3" s="46"/>
      <c r="J3" s="43">
        <v>1</v>
      </c>
      <c r="K3" s="3">
        <v>13</v>
      </c>
      <c r="L3" s="55">
        <f t="array" ref="L3">IF(ISNA(INDEX($O$2:$DA$2,1,MATCH(1,IF($O3:$DM3,1),0))),"",INDEX($O$2:$DA$2,1,MATCH(1,IF($O3:$DM3,1),0)))</f>
        <v>41372</v>
      </c>
      <c r="M3" s="55">
        <f t="shared" ref="M3:M59" si="1">IF(ISNA(MATCH("X",O3:W3,0)),"",INDEX($O$2:$X$2,1,MATCH("X",O3:W3,0)-1))</f>
        <v>41372</v>
      </c>
      <c r="N3" s="56">
        <f>SUM(O3:CG3)</f>
        <v>5.25</v>
      </c>
      <c r="O3" s="51">
        <v>5.25</v>
      </c>
      <c r="P3" s="51" t="s">
        <v>113</v>
      </c>
      <c r="Q3" s="51" t="str">
        <f t="shared" ref="Q3:R3" si="2">IF(ISNUMBER(P3)," ",IF(P3="X","X"," "))</f>
        <v>X</v>
      </c>
      <c r="R3" s="51" t="str">
        <f t="shared" si="2"/>
        <v>X</v>
      </c>
      <c r="S3" s="51" t="str">
        <f>IF(ISNUMBER(R3)," ",IF(R3="X","X"," "))</f>
        <v>X</v>
      </c>
      <c r="T3" s="51" t="str">
        <f>IF(ISNUMBER(S3)," ",IF(S3="X","X"," "))</f>
        <v>X</v>
      </c>
      <c r="U3" s="51" t="str">
        <f>IF(ISNUMBER(T3)," ",IF(T3="X","X"," "))</f>
        <v>X</v>
      </c>
      <c r="V3" s="51" t="str">
        <f>IF(ISNUMBER(U3)," ",IF(U3="X","X"," "))</f>
        <v>X</v>
      </c>
      <c r="W3" s="51"/>
      <c r="X3" s="5"/>
      <c r="Y3" s="18"/>
      <c r="Z3" s="18"/>
      <c r="AA3" s="18"/>
      <c r="AB3" s="18"/>
      <c r="AC3" s="18"/>
      <c r="AD3" s="18"/>
      <c r="AE3" s="18"/>
      <c r="AF3" s="18"/>
      <c r="AG3" s="18"/>
      <c r="AH3" s="18"/>
    </row>
    <row r="4" spans="1:34" ht="25.5" x14ac:dyDescent="0.2">
      <c r="A4" s="18"/>
      <c r="B4" s="4">
        <v>2</v>
      </c>
      <c r="C4" s="68" t="s">
        <v>69</v>
      </c>
      <c r="D4" s="68" t="s">
        <v>71</v>
      </c>
      <c r="E4" s="68"/>
      <c r="F4" s="89"/>
      <c r="G4" s="45">
        <v>41372</v>
      </c>
      <c r="H4" s="45">
        <v>41379</v>
      </c>
      <c r="I4" s="76">
        <v>1</v>
      </c>
      <c r="J4" s="43">
        <v>1</v>
      </c>
      <c r="K4" s="3">
        <v>13</v>
      </c>
      <c r="L4" s="55">
        <f t="array" ref="L4">IF(ISNA(INDEX($O$2:$DA$2,1,MATCH(1,IF($O4:$DM4,1),0))),"",INDEX($O$2:$DA$2,1,MATCH(1,IF($O4:$DM4,1),0)))</f>
        <v>41372</v>
      </c>
      <c r="M4" s="55">
        <f t="shared" si="1"/>
        <v>41379</v>
      </c>
      <c r="N4" s="56">
        <f t="shared" ref="N4:N32" si="3">SUM(O4:CG4)</f>
        <v>11.5</v>
      </c>
      <c r="O4" s="51">
        <v>10.5</v>
      </c>
      <c r="P4" s="51">
        <v>1</v>
      </c>
      <c r="Q4" s="51" t="s">
        <v>112</v>
      </c>
      <c r="R4" s="51" t="s">
        <v>112</v>
      </c>
      <c r="S4" s="51" t="s">
        <v>112</v>
      </c>
      <c r="T4" s="51" t="s">
        <v>112</v>
      </c>
      <c r="U4" s="51" t="s">
        <v>112</v>
      </c>
      <c r="V4" s="51" t="s">
        <v>113</v>
      </c>
      <c r="W4" s="51"/>
      <c r="X4" s="5"/>
      <c r="Y4" s="18"/>
      <c r="Z4" s="18"/>
      <c r="AA4" s="18"/>
      <c r="AB4" s="18"/>
      <c r="AC4" s="18"/>
      <c r="AD4" s="18"/>
      <c r="AE4" s="18"/>
      <c r="AF4" s="18"/>
      <c r="AG4" s="18"/>
      <c r="AH4" s="18"/>
    </row>
    <row r="5" spans="1:34" ht="25.5" x14ac:dyDescent="0.2">
      <c r="A5" s="18"/>
      <c r="B5" s="4">
        <v>3</v>
      </c>
      <c r="C5" s="68" t="s">
        <v>69</v>
      </c>
      <c r="D5" s="68" t="s">
        <v>72</v>
      </c>
      <c r="E5" s="68"/>
      <c r="F5" s="89"/>
      <c r="G5" s="45">
        <v>41384</v>
      </c>
      <c r="H5" s="45">
        <v>41386</v>
      </c>
      <c r="I5" s="46"/>
      <c r="J5" s="43">
        <v>1</v>
      </c>
      <c r="K5" s="3">
        <v>5.25</v>
      </c>
      <c r="L5" s="55">
        <f t="array" ref="L5">IF(ISNA(INDEX($O$2:$DA$2,1,MATCH(1,IF($O5:$DM5,1),0))),"",INDEX($O$2:$DA$2,1,MATCH(1,IF($O5:$DM5,1),0)))</f>
        <v>41379</v>
      </c>
      <c r="M5" s="55">
        <f t="shared" si="1"/>
        <v>41379</v>
      </c>
      <c r="N5" s="56">
        <f t="shared" si="3"/>
        <v>4.5</v>
      </c>
      <c r="O5" s="51"/>
      <c r="P5" s="51">
        <v>4.5</v>
      </c>
      <c r="Q5" s="51" t="s">
        <v>112</v>
      </c>
      <c r="R5" s="51" t="s">
        <v>112</v>
      </c>
      <c r="S5" s="51" t="s">
        <v>112</v>
      </c>
      <c r="T5" s="51" t="s">
        <v>112</v>
      </c>
      <c r="U5" s="51" t="s">
        <v>112</v>
      </c>
      <c r="V5" s="51" t="s">
        <v>112</v>
      </c>
      <c r="W5" s="51"/>
      <c r="X5" s="5"/>
      <c r="Y5" s="18"/>
      <c r="Z5" s="18"/>
      <c r="AA5" s="18"/>
      <c r="AB5" s="18"/>
      <c r="AC5" s="18"/>
      <c r="AD5" s="18"/>
      <c r="AE5" s="18"/>
      <c r="AF5" s="18"/>
      <c r="AG5" s="18"/>
      <c r="AH5" s="18"/>
    </row>
    <row r="6" spans="1:34" ht="25.5" x14ac:dyDescent="0.2">
      <c r="A6" s="18"/>
      <c r="B6" s="4">
        <v>4</v>
      </c>
      <c r="C6" s="68" t="s">
        <v>69</v>
      </c>
      <c r="D6" s="68" t="s">
        <v>73</v>
      </c>
      <c r="E6" s="68"/>
      <c r="F6" s="89"/>
      <c r="G6" s="45">
        <v>41372</v>
      </c>
      <c r="H6" s="45">
        <v>41393</v>
      </c>
      <c r="I6" s="76">
        <v>1</v>
      </c>
      <c r="J6" s="43">
        <v>3</v>
      </c>
      <c r="K6" s="3">
        <v>20</v>
      </c>
      <c r="L6" s="55">
        <f t="array" ref="L6">IF(ISNA(INDEX($O$2:$DA$2,1,MATCH(1,IF($O6:$DM6,1),0))),"",INDEX($O$2:$DA$2,1,MATCH(1,IF($O6:$DM6,1),0)))</f>
        <v>41372</v>
      </c>
      <c r="M6" s="55">
        <f t="shared" si="1"/>
        <v>41386</v>
      </c>
      <c r="N6" s="56">
        <f t="shared" si="3"/>
        <v>24</v>
      </c>
      <c r="O6" s="51">
        <v>6</v>
      </c>
      <c r="P6" s="51">
        <v>3</v>
      </c>
      <c r="Q6" s="51">
        <v>15</v>
      </c>
      <c r="R6" s="51" t="s">
        <v>112</v>
      </c>
      <c r="S6" s="51" t="s">
        <v>112</v>
      </c>
      <c r="T6" s="51" t="s">
        <v>112</v>
      </c>
      <c r="U6" s="51" t="s">
        <v>112</v>
      </c>
      <c r="V6" s="51" t="s">
        <v>112</v>
      </c>
      <c r="W6" s="51"/>
      <c r="X6" s="5"/>
      <c r="Y6" s="18"/>
      <c r="Z6" s="18"/>
      <c r="AA6" s="18"/>
      <c r="AB6" s="18"/>
      <c r="AC6" s="18"/>
      <c r="AD6" s="18"/>
      <c r="AE6" s="18"/>
      <c r="AF6" s="18"/>
      <c r="AG6" s="18"/>
      <c r="AH6" s="18"/>
    </row>
    <row r="7" spans="1:34" ht="25.5" x14ac:dyDescent="0.2">
      <c r="A7" s="18"/>
      <c r="B7" s="4">
        <v>5</v>
      </c>
      <c r="C7" s="68" t="s">
        <v>69</v>
      </c>
      <c r="D7" s="68" t="s">
        <v>109</v>
      </c>
      <c r="E7" s="68" t="s">
        <v>108</v>
      </c>
      <c r="F7" s="89"/>
      <c r="G7" s="45">
        <v>41379</v>
      </c>
      <c r="H7" s="45">
        <v>41393</v>
      </c>
      <c r="I7" s="76">
        <v>1</v>
      </c>
      <c r="J7" s="43">
        <v>2</v>
      </c>
      <c r="K7" s="3">
        <v>13</v>
      </c>
      <c r="L7" s="55">
        <f t="array" ref="L7">IF(ISNA(INDEX($O$2:$DA$2,1,MATCH(1,IF($O7:$DM7,1),0))),"",INDEX($O$2:$DA$2,1,MATCH(1,IF($O7:$DM7,1),0)))</f>
        <v>41372</v>
      </c>
      <c r="M7" s="55">
        <f t="shared" si="1"/>
        <v>41414</v>
      </c>
      <c r="N7" s="56">
        <f t="shared" si="3"/>
        <v>44.25</v>
      </c>
      <c r="O7" s="51">
        <v>10</v>
      </c>
      <c r="P7" s="51">
        <v>8</v>
      </c>
      <c r="Q7" s="51">
        <v>0.5</v>
      </c>
      <c r="R7" s="51">
        <f>4.75+3.5</f>
        <v>8.25</v>
      </c>
      <c r="S7" s="51">
        <f>4.25+4+0.25</f>
        <v>8.5</v>
      </c>
      <c r="T7" s="51">
        <f>3+6</f>
        <v>9</v>
      </c>
      <c r="U7" s="51" t="s">
        <v>112</v>
      </c>
      <c r="V7" s="51" t="s">
        <v>112</v>
      </c>
      <c r="W7" s="51"/>
      <c r="X7" s="5"/>
      <c r="Y7" s="18"/>
      <c r="Z7" s="18"/>
      <c r="AA7" s="18"/>
      <c r="AB7" s="18"/>
      <c r="AC7" s="18"/>
      <c r="AD7" s="18"/>
      <c r="AE7" s="18"/>
      <c r="AF7" s="18"/>
      <c r="AG7" s="18"/>
      <c r="AH7" s="18"/>
    </row>
    <row r="8" spans="1:34" ht="25.5" x14ac:dyDescent="0.2">
      <c r="A8" s="18"/>
      <c r="B8" s="4">
        <v>6</v>
      </c>
      <c r="C8" s="68" t="s">
        <v>69</v>
      </c>
      <c r="D8" s="68" t="s">
        <v>74</v>
      </c>
      <c r="E8" s="68" t="s">
        <v>75</v>
      </c>
      <c r="F8" s="89"/>
      <c r="G8" s="45">
        <v>41386</v>
      </c>
      <c r="H8" s="45">
        <v>41393</v>
      </c>
      <c r="I8" s="76">
        <v>4</v>
      </c>
      <c r="J8" s="43">
        <v>1</v>
      </c>
      <c r="K8" s="3">
        <v>13</v>
      </c>
      <c r="L8" s="55">
        <f t="array" ref="L8">IF(ISNA(INDEX($O$2:$DA$2,1,MATCH(1,IF($O8:$DM8,1),0))),"",INDEX($O$2:$DA$2,1,MATCH(1,IF($O8:$DM8,1),0)))</f>
        <v>41386</v>
      </c>
      <c r="M8" s="55">
        <f t="shared" si="1"/>
        <v>41393</v>
      </c>
      <c r="N8" s="56">
        <f t="shared" si="3"/>
        <v>10.25</v>
      </c>
      <c r="O8" s="51"/>
      <c r="P8" s="51"/>
      <c r="Q8" s="51">
        <f>2.25+1.75+2.5</f>
        <v>6.5</v>
      </c>
      <c r="R8" s="51">
        <f>1.25+2.5</f>
        <v>3.75</v>
      </c>
      <c r="S8" s="51" t="s">
        <v>113</v>
      </c>
      <c r="T8" s="51" t="s">
        <v>113</v>
      </c>
      <c r="U8" s="51" t="s">
        <v>113</v>
      </c>
      <c r="V8" s="51" t="s">
        <v>113</v>
      </c>
      <c r="W8" s="51"/>
      <c r="X8" s="5"/>
      <c r="Y8" s="18"/>
      <c r="Z8" s="18"/>
      <c r="AA8" s="18"/>
      <c r="AB8" s="18"/>
      <c r="AC8" s="18"/>
      <c r="AD8" s="18"/>
      <c r="AE8" s="18"/>
      <c r="AF8" s="18"/>
      <c r="AG8" s="18"/>
      <c r="AH8" s="18"/>
    </row>
    <row r="9" spans="1:34" ht="25.5" x14ac:dyDescent="0.2">
      <c r="A9" s="18"/>
      <c r="B9" s="4">
        <v>7</v>
      </c>
      <c r="C9" s="68" t="s">
        <v>69</v>
      </c>
      <c r="D9" s="68" t="s">
        <v>74</v>
      </c>
      <c r="E9" s="68" t="s">
        <v>76</v>
      </c>
      <c r="F9" s="89"/>
      <c r="G9" s="45">
        <v>41393</v>
      </c>
      <c r="H9" s="45">
        <v>41393</v>
      </c>
      <c r="I9" s="76">
        <v>6</v>
      </c>
      <c r="J9" s="43">
        <v>2</v>
      </c>
      <c r="K9" s="3">
        <v>20</v>
      </c>
      <c r="L9" s="55" t="str">
        <f t="array" ref="L9">IF(ISNA(INDEX($O$2:$DA$2,1,MATCH(1,IF($O9:$DM9,1),0))),"",INDEX($O$2:$DA$2,1,MATCH(1,IF($O9:$DM9,1),0)))</f>
        <v/>
      </c>
      <c r="M9" s="55">
        <f t="shared" si="1"/>
        <v>41393</v>
      </c>
      <c r="N9" s="56">
        <f t="shared" si="3"/>
        <v>0</v>
      </c>
      <c r="O9" s="51"/>
      <c r="P9" s="51"/>
      <c r="Q9" s="51"/>
      <c r="R9" s="51">
        <v>0</v>
      </c>
      <c r="S9" s="51" t="s">
        <v>113</v>
      </c>
      <c r="T9" s="51" t="s">
        <v>112</v>
      </c>
      <c r="U9" s="51" t="s">
        <v>112</v>
      </c>
      <c r="V9" s="51" t="s">
        <v>112</v>
      </c>
      <c r="W9" s="51"/>
      <c r="X9" s="5"/>
      <c r="Y9" s="18"/>
      <c r="Z9" s="18"/>
      <c r="AA9" s="18"/>
      <c r="AB9" s="18"/>
      <c r="AC9" s="18"/>
      <c r="AD9" s="18"/>
      <c r="AE9" s="18"/>
      <c r="AF9" s="18"/>
      <c r="AG9" s="18"/>
      <c r="AH9" s="18"/>
    </row>
    <row r="10" spans="1:34" ht="25.5" x14ac:dyDescent="0.2">
      <c r="A10" s="18"/>
      <c r="B10" s="4">
        <v>8</v>
      </c>
      <c r="C10" s="68" t="s">
        <v>69</v>
      </c>
      <c r="D10" s="68" t="s">
        <v>74</v>
      </c>
      <c r="E10" s="69" t="s">
        <v>77</v>
      </c>
      <c r="F10" s="89"/>
      <c r="G10" s="45">
        <v>41393</v>
      </c>
      <c r="H10" s="45">
        <v>41393</v>
      </c>
      <c r="I10" s="76">
        <v>7</v>
      </c>
      <c r="J10" s="43">
        <v>2</v>
      </c>
      <c r="K10" s="3">
        <v>8</v>
      </c>
      <c r="L10" s="55">
        <f t="array" ref="L10">IF(ISNA(INDEX($O$2:$DA$2,1,MATCH(1,IF($O10:$DM10,1),0))),"",INDEX($O$2:$DA$2,1,MATCH(1,IF($O10:$DM10,1),0)))</f>
        <v>41393</v>
      </c>
      <c r="M10" s="55">
        <f t="shared" si="1"/>
        <v>41393</v>
      </c>
      <c r="N10" s="56">
        <f t="shared" si="3"/>
        <v>8.75</v>
      </c>
      <c r="O10" s="51"/>
      <c r="P10" s="51"/>
      <c r="Q10" s="51"/>
      <c r="R10" s="51">
        <f>8.75</f>
        <v>8.75</v>
      </c>
      <c r="S10" s="51" t="s">
        <v>113</v>
      </c>
      <c r="T10" s="51" t="s">
        <v>113</v>
      </c>
      <c r="U10" s="51" t="s">
        <v>113</v>
      </c>
      <c r="V10" s="51" t="s">
        <v>113</v>
      </c>
      <c r="W10" s="51"/>
      <c r="X10" s="5"/>
      <c r="Y10" s="18"/>
      <c r="Z10" s="18"/>
      <c r="AA10" s="18"/>
      <c r="AB10" s="18"/>
      <c r="AC10" s="18"/>
      <c r="AD10" s="18"/>
      <c r="AE10" s="18"/>
      <c r="AF10" s="18"/>
      <c r="AG10" s="18"/>
      <c r="AH10" s="18"/>
    </row>
    <row r="11" spans="1:34" ht="26.25" thickBot="1" x14ac:dyDescent="0.25">
      <c r="A11" s="18"/>
      <c r="B11" s="72">
        <v>9</v>
      </c>
      <c r="C11" s="73" t="s">
        <v>69</v>
      </c>
      <c r="D11" s="74" t="s">
        <v>78</v>
      </c>
      <c r="E11" s="74"/>
      <c r="F11" s="89"/>
      <c r="G11" s="45">
        <v>41393</v>
      </c>
      <c r="H11" s="82">
        <v>41407</v>
      </c>
      <c r="I11" s="76">
        <v>7</v>
      </c>
      <c r="J11" s="83">
        <v>1</v>
      </c>
      <c r="K11" s="84">
        <v>10</v>
      </c>
      <c r="L11" s="85">
        <f t="array" ref="L11">IF(ISNA(INDEX($O$2:$DA$2,1,MATCH(1,IF($O11:$DM11,1),0))),"",INDEX($O$2:$DA$2,1,MATCH(1,IF($O11:$DM11,1),0)))</f>
        <v>41393</v>
      </c>
      <c r="M11" s="55">
        <f t="shared" si="1"/>
        <v>41393</v>
      </c>
      <c r="N11" s="86">
        <f t="shared" si="3"/>
        <v>8.75</v>
      </c>
      <c r="O11" s="87"/>
      <c r="P11" s="87"/>
      <c r="Q11" s="87"/>
      <c r="R11" s="87">
        <f>1.25*7</f>
        <v>8.75</v>
      </c>
      <c r="S11" s="87" t="s">
        <v>113</v>
      </c>
      <c r="T11" s="87" t="s">
        <v>112</v>
      </c>
      <c r="U11" s="87" t="s">
        <v>113</v>
      </c>
      <c r="V11" s="87" t="s">
        <v>112</v>
      </c>
      <c r="W11" s="87"/>
      <c r="X11" s="88"/>
      <c r="Y11" s="18"/>
      <c r="Z11" s="18"/>
      <c r="AA11" s="18"/>
      <c r="AB11" s="18"/>
      <c r="AC11" s="18"/>
      <c r="AD11" s="18"/>
      <c r="AE11" s="18"/>
      <c r="AF11" s="18"/>
      <c r="AG11" s="18"/>
      <c r="AH11" s="18"/>
    </row>
    <row r="12" spans="1:34" ht="25.5" x14ac:dyDescent="0.2">
      <c r="A12" s="18"/>
      <c r="B12" s="70">
        <v>10</v>
      </c>
      <c r="C12" s="71" t="s">
        <v>79</v>
      </c>
      <c r="D12" s="71" t="s">
        <v>80</v>
      </c>
      <c r="E12" s="71" t="s">
        <v>81</v>
      </c>
      <c r="F12" s="89"/>
      <c r="G12" s="75">
        <v>41393</v>
      </c>
      <c r="H12" s="75">
        <v>41407</v>
      </c>
      <c r="I12" s="76">
        <v>4</v>
      </c>
      <c r="J12" s="76">
        <v>1</v>
      </c>
      <c r="K12" s="77">
        <v>3</v>
      </c>
      <c r="L12" s="78">
        <f t="array" ref="L12">IF(ISNA(INDEX($O$2:$DA$2,1,MATCH(1,IF($O12:$DM12,1),0))),"",INDEX($O$2:$DA$2,1,MATCH(1,IF($O12:$DM12,1),0)))</f>
        <v>41393</v>
      </c>
      <c r="M12" s="55">
        <f t="shared" si="1"/>
        <v>41393</v>
      </c>
      <c r="N12" s="79">
        <f t="shared" si="3"/>
        <v>2.75</v>
      </c>
      <c r="O12" s="80"/>
      <c r="P12" s="80"/>
      <c r="Q12" s="80"/>
      <c r="R12" s="80">
        <f>2.25+0.5</f>
        <v>2.75</v>
      </c>
      <c r="S12" s="80" t="s">
        <v>113</v>
      </c>
      <c r="T12" s="80" t="s">
        <v>112</v>
      </c>
      <c r="U12" s="80" t="str">
        <f t="shared" ref="U12:V13" si="4">IF(ISNUMBER(T12)," ",IF(T12="X","X"," "))</f>
        <v>X</v>
      </c>
      <c r="V12" s="80" t="str">
        <f t="shared" si="4"/>
        <v>X</v>
      </c>
      <c r="W12" s="80"/>
      <c r="X12" s="81"/>
      <c r="Y12" s="18"/>
      <c r="Z12" s="18"/>
      <c r="AA12" s="18"/>
      <c r="AB12" s="18"/>
      <c r="AC12" s="18"/>
      <c r="AD12" s="18"/>
      <c r="AE12" s="18"/>
      <c r="AF12" s="18"/>
      <c r="AG12" s="18"/>
      <c r="AH12" s="18"/>
    </row>
    <row r="13" spans="1:34" x14ac:dyDescent="0.2">
      <c r="A13" s="18"/>
      <c r="B13" s="4">
        <v>11</v>
      </c>
      <c r="C13" s="68" t="s">
        <v>79</v>
      </c>
      <c r="D13" s="68" t="s">
        <v>80</v>
      </c>
      <c r="E13" s="68" t="s">
        <v>82</v>
      </c>
      <c r="F13" s="89"/>
      <c r="G13" s="75">
        <v>41393</v>
      </c>
      <c r="H13" s="45">
        <v>41407</v>
      </c>
      <c r="I13" s="43">
        <v>10</v>
      </c>
      <c r="J13" s="43">
        <v>2</v>
      </c>
      <c r="K13" s="3">
        <v>13</v>
      </c>
      <c r="L13" s="55">
        <f t="array" ref="L13">IF(ISNA(INDEX($O$2:$DA$2,1,MATCH(1,IF($O13:$DM13,1),0))),"",INDEX($O$2:$DA$2,1,MATCH(1,IF($O13:$DM13,1),0)))</f>
        <v>41393</v>
      </c>
      <c r="M13" s="55">
        <f t="shared" si="1"/>
        <v>41393</v>
      </c>
      <c r="N13" s="56">
        <f t="shared" si="3"/>
        <v>1.75</v>
      </c>
      <c r="O13" s="51"/>
      <c r="P13" s="51"/>
      <c r="Q13" s="51"/>
      <c r="R13" s="51">
        <v>1.75</v>
      </c>
      <c r="S13" s="51" t="s">
        <v>113</v>
      </c>
      <c r="T13" s="51" t="s">
        <v>112</v>
      </c>
      <c r="U13" s="51" t="str">
        <f t="shared" si="4"/>
        <v>X</v>
      </c>
      <c r="V13" s="51" t="str">
        <f t="shared" si="4"/>
        <v>X</v>
      </c>
      <c r="W13" s="51"/>
      <c r="X13" s="5"/>
      <c r="Y13" s="18"/>
      <c r="Z13" s="18"/>
      <c r="AA13" s="18"/>
      <c r="AB13" s="18"/>
      <c r="AC13" s="18"/>
      <c r="AD13" s="18"/>
      <c r="AE13" s="18"/>
      <c r="AF13" s="18"/>
      <c r="AG13" s="18"/>
      <c r="AH13" s="18"/>
    </row>
    <row r="14" spans="1:34" ht="25.5" x14ac:dyDescent="0.2">
      <c r="A14" s="18"/>
      <c r="B14" s="4">
        <v>12</v>
      </c>
      <c r="C14" s="68" t="s">
        <v>79</v>
      </c>
      <c r="D14" s="68" t="s">
        <v>83</v>
      </c>
      <c r="E14" s="68" t="s">
        <v>84</v>
      </c>
      <c r="F14" s="89"/>
      <c r="G14" s="45">
        <v>41400</v>
      </c>
      <c r="H14" s="45">
        <v>41414</v>
      </c>
      <c r="I14" s="43">
        <v>11</v>
      </c>
      <c r="J14" s="43">
        <v>2</v>
      </c>
      <c r="K14" s="3">
        <v>8</v>
      </c>
      <c r="L14" s="55">
        <f t="array" ref="L14">IF(ISNA(INDEX($O$2:$DA$2,1,MATCH(1,IF($O14:$DM14,1),0))),"",INDEX($O$2:$DA$2,1,MATCH(1,IF($O14:$DM14,1),0)))</f>
        <v>41393</v>
      </c>
      <c r="M14" s="55">
        <f t="shared" si="1"/>
        <v>41407</v>
      </c>
      <c r="N14" s="56">
        <f t="shared" si="3"/>
        <v>5</v>
      </c>
      <c r="O14" s="51"/>
      <c r="P14" s="51"/>
      <c r="Q14" s="51"/>
      <c r="R14" s="51">
        <f>2.5</f>
        <v>2.5</v>
      </c>
      <c r="S14" s="51">
        <v>2.5</v>
      </c>
      <c r="T14" s="51" t="s">
        <v>112</v>
      </c>
      <c r="U14" s="51" t="str">
        <f t="shared" ref="T14:W16" si="5">IF(ISNUMBER(T14)," ",IF(T14="X","X"," "))</f>
        <v>X</v>
      </c>
      <c r="V14" s="51" t="str">
        <f t="shared" si="5"/>
        <v>X</v>
      </c>
      <c r="W14" s="51" t="str">
        <f t="shared" si="5"/>
        <v>X</v>
      </c>
      <c r="X14" s="5"/>
      <c r="Y14" s="18"/>
      <c r="Z14" s="18"/>
      <c r="AA14" s="18"/>
      <c r="AB14" s="18"/>
      <c r="AC14" s="18"/>
      <c r="AD14" s="18"/>
      <c r="AE14" s="18"/>
      <c r="AF14" s="18"/>
      <c r="AG14" s="18"/>
      <c r="AH14" s="18"/>
    </row>
    <row r="15" spans="1:34" ht="25.5" customHeight="1" x14ac:dyDescent="0.2">
      <c r="A15" s="18"/>
      <c r="B15" s="4">
        <v>13</v>
      </c>
      <c r="C15" s="68" t="s">
        <v>79</v>
      </c>
      <c r="D15" s="68" t="s">
        <v>85</v>
      </c>
      <c r="E15" s="68" t="s">
        <v>86</v>
      </c>
      <c r="F15" s="89"/>
      <c r="G15" s="45">
        <v>41407</v>
      </c>
      <c r="H15" s="45">
        <v>41414</v>
      </c>
      <c r="I15" s="46"/>
      <c r="J15" s="43">
        <v>1</v>
      </c>
      <c r="K15" s="3">
        <v>2</v>
      </c>
      <c r="L15" s="55">
        <f t="array" ref="L15">IF(ISNA(INDEX($O$2:$DA$2,1,MATCH(1,IF($O15:$DM15,1),0))),"",INDEX($O$2:$DA$2,1,MATCH(1,IF($O15:$DM15,1),0)))</f>
        <v>41407</v>
      </c>
      <c r="M15" s="55" t="str">
        <f t="shared" si="1"/>
        <v/>
      </c>
      <c r="N15" s="56">
        <f t="shared" si="3"/>
        <v>1.5</v>
      </c>
      <c r="O15" s="51"/>
      <c r="P15" s="51" t="str">
        <f t="shared" ref="P15:Q15" si="6">IF(ISNUMBER(O15)," ",IF(O15="X","X"," "))</f>
        <v xml:space="preserve"> </v>
      </c>
      <c r="Q15" s="51" t="str">
        <f t="shared" si="6"/>
        <v xml:space="preserve"> </v>
      </c>
      <c r="R15" s="51"/>
      <c r="S15" s="51">
        <v>1</v>
      </c>
      <c r="T15" s="51">
        <v>0.5</v>
      </c>
      <c r="U15" s="51" t="str">
        <f t="shared" si="5"/>
        <v xml:space="preserve"> </v>
      </c>
      <c r="V15" s="51" t="str">
        <f t="shared" si="5"/>
        <v xml:space="preserve"> </v>
      </c>
      <c r="W15" s="51" t="str">
        <f t="shared" si="5"/>
        <v xml:space="preserve"> </v>
      </c>
      <c r="X15" s="5"/>
      <c r="Y15" s="18"/>
      <c r="Z15" s="18"/>
      <c r="AA15" s="18"/>
      <c r="AB15" s="18"/>
      <c r="AC15" s="18"/>
      <c r="AD15" s="18"/>
      <c r="AE15" s="18"/>
      <c r="AF15" s="18"/>
      <c r="AG15" s="18"/>
      <c r="AH15" s="18"/>
    </row>
    <row r="16" spans="1:34" ht="25.5" customHeight="1" x14ac:dyDescent="0.2">
      <c r="A16" s="18"/>
      <c r="B16" s="4">
        <v>14</v>
      </c>
      <c r="C16" s="68" t="s">
        <v>79</v>
      </c>
      <c r="D16" s="68" t="s">
        <v>89</v>
      </c>
      <c r="E16" s="68" t="s">
        <v>87</v>
      </c>
      <c r="F16" s="89"/>
      <c r="G16" s="45">
        <v>41414</v>
      </c>
      <c r="H16" s="45">
        <v>41421</v>
      </c>
      <c r="I16" s="43">
        <v>13</v>
      </c>
      <c r="J16" s="43">
        <v>1</v>
      </c>
      <c r="K16" s="3">
        <v>5</v>
      </c>
      <c r="L16" s="55">
        <f t="array" ref="L16">IF(ISNA(INDEX($O$2:$DA$2,1,MATCH(1,IF($O16:$DM16,1),0))),"",INDEX($O$2:$DA$2,1,MATCH(1,IF($O16:$DM16,1),0)))</f>
        <v>41407</v>
      </c>
      <c r="M16" s="55" t="str">
        <f t="shared" si="1"/>
        <v/>
      </c>
      <c r="N16" s="56">
        <f t="shared" si="3"/>
        <v>1</v>
      </c>
      <c r="O16" s="51"/>
      <c r="P16" s="51" t="str">
        <f t="shared" ref="P16" si="7">IF(ISNUMBER(O16)," ",IF(O16="X","X"," "))</f>
        <v xml:space="preserve"> </v>
      </c>
      <c r="Q16" s="51"/>
      <c r="R16" s="51"/>
      <c r="S16" s="51">
        <v>1</v>
      </c>
      <c r="T16" s="51" t="str">
        <f t="shared" si="5"/>
        <v xml:space="preserve"> </v>
      </c>
      <c r="U16" s="51" t="str">
        <f t="shared" si="5"/>
        <v xml:space="preserve"> </v>
      </c>
      <c r="V16" s="51" t="str">
        <f t="shared" si="5"/>
        <v xml:space="preserve"> </v>
      </c>
      <c r="W16" s="51" t="str">
        <f t="shared" si="5"/>
        <v xml:space="preserve"> </v>
      </c>
      <c r="X16" s="5"/>
      <c r="Y16" s="18"/>
      <c r="Z16" s="18"/>
      <c r="AA16" s="18"/>
      <c r="AB16" s="18"/>
      <c r="AC16" s="18"/>
      <c r="AD16" s="18"/>
      <c r="AE16" s="18"/>
      <c r="AF16" s="18"/>
      <c r="AG16" s="18"/>
      <c r="AH16" s="18"/>
    </row>
    <row r="17" spans="1:34" ht="25.5" customHeight="1" x14ac:dyDescent="0.2">
      <c r="A17" s="18"/>
      <c r="B17" s="4">
        <v>15</v>
      </c>
      <c r="C17" s="68" t="s">
        <v>79</v>
      </c>
      <c r="D17" s="68" t="s">
        <v>85</v>
      </c>
      <c r="E17" s="68" t="s">
        <v>110</v>
      </c>
      <c r="F17" s="89"/>
      <c r="G17" s="45">
        <v>41414</v>
      </c>
      <c r="H17" s="45">
        <v>41421</v>
      </c>
      <c r="I17" s="43">
        <v>14</v>
      </c>
      <c r="J17" s="43">
        <v>1</v>
      </c>
      <c r="K17" s="3">
        <v>2</v>
      </c>
      <c r="L17" s="55">
        <f t="array" ref="L17">IF(ISNA(INDEX($O$2:$DA$2,1,MATCH(1,IF($O17:$DM17,1),0))),"",INDEX($O$2:$DA$2,1,MATCH(1,IF($O17:$DM17,1),0)))</f>
        <v>41407</v>
      </c>
      <c r="M17" s="55" t="str">
        <f t="shared" si="1"/>
        <v/>
      </c>
      <c r="N17" s="56">
        <f t="shared" si="3"/>
        <v>0.25</v>
      </c>
      <c r="O17" s="51"/>
      <c r="P17" s="51"/>
      <c r="Q17" s="51"/>
      <c r="R17" s="51"/>
      <c r="S17" s="51">
        <v>0.25</v>
      </c>
      <c r="T17" s="51"/>
      <c r="U17" s="51"/>
      <c r="V17" s="51"/>
      <c r="W17" s="51"/>
      <c r="X17" s="5"/>
      <c r="Y17" s="18"/>
      <c r="Z17" s="18"/>
      <c r="AA17" s="18"/>
      <c r="AB17" s="18"/>
      <c r="AC17" s="18"/>
      <c r="AD17" s="18"/>
      <c r="AE17" s="18"/>
      <c r="AF17" s="18"/>
      <c r="AG17" s="18"/>
      <c r="AH17" s="18"/>
    </row>
    <row r="18" spans="1:34" ht="25.5" customHeight="1" x14ac:dyDescent="0.2">
      <c r="A18" s="18"/>
      <c r="B18" s="4">
        <v>16</v>
      </c>
      <c r="C18" s="68" t="s">
        <v>79</v>
      </c>
      <c r="D18" s="68" t="s">
        <v>90</v>
      </c>
      <c r="E18" s="68" t="s">
        <v>86</v>
      </c>
      <c r="F18" s="89"/>
      <c r="G18" s="45">
        <v>41407</v>
      </c>
      <c r="H18" s="45">
        <v>41414</v>
      </c>
      <c r="I18" s="46"/>
      <c r="J18" s="43">
        <v>1</v>
      </c>
      <c r="K18" s="3">
        <v>1</v>
      </c>
      <c r="L18" s="55">
        <f t="array" ref="L18">IF(ISNA(INDEX($O$2:$DA$2,1,MATCH(1,IF($O18:$DM18,1),0))),"",INDEX($O$2:$DA$2,1,MATCH(1,IF($O18:$DM18,1),0)))</f>
        <v>41407</v>
      </c>
      <c r="M18" s="55" t="str">
        <f t="shared" si="1"/>
        <v/>
      </c>
      <c r="N18" s="56">
        <f t="shared" si="3"/>
        <v>0.75</v>
      </c>
      <c r="O18" s="51"/>
      <c r="P18" s="51"/>
      <c r="Q18" s="51"/>
      <c r="R18" s="51"/>
      <c r="S18" s="51">
        <v>0.75</v>
      </c>
      <c r="T18" s="51"/>
      <c r="U18" s="51"/>
      <c r="V18" s="51"/>
      <c r="W18" s="51"/>
      <c r="X18" s="5"/>
      <c r="Y18" s="18"/>
      <c r="Z18" s="18"/>
      <c r="AA18" s="18"/>
      <c r="AB18" s="18"/>
      <c r="AC18" s="18"/>
      <c r="AD18" s="18"/>
      <c r="AE18" s="18"/>
      <c r="AF18" s="18"/>
      <c r="AG18" s="18"/>
      <c r="AH18" s="18"/>
    </row>
    <row r="19" spans="1:34" ht="25.5" customHeight="1" x14ac:dyDescent="0.2">
      <c r="A19" s="18"/>
      <c r="B19" s="4">
        <v>17</v>
      </c>
      <c r="C19" s="68" t="s">
        <v>79</v>
      </c>
      <c r="D19" s="68" t="s">
        <v>90</v>
      </c>
      <c r="E19" s="68" t="s">
        <v>87</v>
      </c>
      <c r="F19" s="89"/>
      <c r="G19" s="45">
        <v>41407</v>
      </c>
      <c r="H19" s="45">
        <v>41421</v>
      </c>
      <c r="I19" s="43">
        <v>16</v>
      </c>
      <c r="J19" s="43">
        <v>1</v>
      </c>
      <c r="K19" s="3">
        <v>3</v>
      </c>
      <c r="L19" s="55">
        <f t="array" ref="L19">IF(ISNA(INDEX($O$2:$DA$2,1,MATCH(1,IF($O19:$DM19,1),0))),"",INDEX($O$2:$DA$2,1,MATCH(1,IF($O19:$DM19,1),0)))</f>
        <v>41407</v>
      </c>
      <c r="M19" s="55" t="str">
        <f t="shared" si="1"/>
        <v/>
      </c>
      <c r="N19" s="56">
        <f t="shared" si="3"/>
        <v>3</v>
      </c>
      <c r="O19" s="51"/>
      <c r="P19" s="51"/>
      <c r="Q19" s="51"/>
      <c r="R19" s="51"/>
      <c r="S19" s="51">
        <v>3</v>
      </c>
      <c r="T19" s="51"/>
      <c r="U19" s="51"/>
      <c r="V19" s="51"/>
      <c r="W19" s="51"/>
      <c r="X19" s="5"/>
      <c r="Y19" s="18"/>
      <c r="Z19" s="18"/>
      <c r="AA19" s="18"/>
      <c r="AB19" s="18"/>
      <c r="AC19" s="18"/>
      <c r="AD19" s="18"/>
      <c r="AE19" s="18"/>
      <c r="AF19" s="18"/>
      <c r="AG19" s="18"/>
      <c r="AH19" s="18"/>
    </row>
    <row r="20" spans="1:34" ht="25.5" customHeight="1" x14ac:dyDescent="0.2">
      <c r="A20" s="18"/>
      <c r="B20" s="4">
        <v>18</v>
      </c>
      <c r="C20" s="68" t="s">
        <v>79</v>
      </c>
      <c r="D20" s="68" t="s">
        <v>90</v>
      </c>
      <c r="E20" s="68" t="s">
        <v>88</v>
      </c>
      <c r="F20" s="89"/>
      <c r="G20" s="45">
        <v>41407</v>
      </c>
      <c r="H20" s="45">
        <v>41421</v>
      </c>
      <c r="I20" s="43">
        <v>17</v>
      </c>
      <c r="J20" s="43">
        <v>1</v>
      </c>
      <c r="K20" s="3">
        <v>1</v>
      </c>
      <c r="L20" s="55">
        <f t="array" ref="L20">IF(ISNA(INDEX($O$2:$DA$2,1,MATCH(1,IF($O20:$DM20,1),0))),"",INDEX($O$2:$DA$2,1,MATCH(1,IF($O20:$DM20,1),0)))</f>
        <v>41407</v>
      </c>
      <c r="M20" s="55" t="str">
        <f t="shared" si="1"/>
        <v/>
      </c>
      <c r="N20" s="56">
        <f t="shared" si="3"/>
        <v>0.75</v>
      </c>
      <c r="O20" s="51"/>
      <c r="P20" s="51"/>
      <c r="Q20" s="51"/>
      <c r="R20" s="51"/>
      <c r="S20" s="51">
        <v>0.75</v>
      </c>
      <c r="T20" s="51"/>
      <c r="U20" s="51"/>
      <c r="V20" s="51"/>
      <c r="W20" s="51"/>
      <c r="X20" s="5"/>
      <c r="Y20" s="18"/>
      <c r="Z20" s="18"/>
      <c r="AA20" s="18"/>
      <c r="AB20" s="18"/>
      <c r="AC20" s="18"/>
      <c r="AD20" s="18"/>
      <c r="AE20" s="18"/>
      <c r="AF20" s="18"/>
      <c r="AG20" s="18"/>
      <c r="AH20" s="18"/>
    </row>
    <row r="21" spans="1:34" ht="25.5" customHeight="1" x14ac:dyDescent="0.2">
      <c r="A21" s="18"/>
      <c r="B21" s="4">
        <v>19</v>
      </c>
      <c r="C21" s="68" t="s">
        <v>79</v>
      </c>
      <c r="D21" s="68" t="s">
        <v>91</v>
      </c>
      <c r="E21" s="68" t="s">
        <v>86</v>
      </c>
      <c r="F21" s="89"/>
      <c r="G21" s="45">
        <v>41407</v>
      </c>
      <c r="H21" s="45">
        <v>41414</v>
      </c>
      <c r="I21" s="46"/>
      <c r="J21" s="43">
        <v>1</v>
      </c>
      <c r="K21" s="3">
        <v>2</v>
      </c>
      <c r="L21" s="55">
        <f t="array" ref="L21">IF(ISNA(INDEX($O$2:$DA$2,1,MATCH(1,IF($O21:$DM21,1),0))),"",INDEX($O$2:$DA$2,1,MATCH(1,IF($O21:$DM21,1),0)))</f>
        <v>41407</v>
      </c>
      <c r="M21" s="55" t="str">
        <f t="shared" si="1"/>
        <v/>
      </c>
      <c r="N21" s="56">
        <f t="shared" si="3"/>
        <v>1.75</v>
      </c>
      <c r="O21" s="51"/>
      <c r="P21" s="51"/>
      <c r="Q21" s="51"/>
      <c r="R21" s="51"/>
      <c r="S21" s="51">
        <f>0.5+1</f>
        <v>1.5</v>
      </c>
      <c r="T21" s="51">
        <f>0.25</f>
        <v>0.25</v>
      </c>
      <c r="U21" s="51"/>
      <c r="V21" s="51"/>
      <c r="W21" s="51"/>
      <c r="X21" s="5"/>
      <c r="Y21" s="18"/>
      <c r="Z21" s="18"/>
      <c r="AA21" s="18"/>
      <c r="AB21" s="18"/>
      <c r="AC21" s="18"/>
      <c r="AD21" s="18"/>
      <c r="AE21" s="18"/>
      <c r="AF21" s="18"/>
      <c r="AG21" s="18"/>
      <c r="AH21" s="18"/>
    </row>
    <row r="22" spans="1:34" ht="25.5" customHeight="1" x14ac:dyDescent="0.2">
      <c r="A22" s="18"/>
      <c r="B22" s="4">
        <v>20</v>
      </c>
      <c r="C22" s="68" t="s">
        <v>79</v>
      </c>
      <c r="D22" s="68" t="s">
        <v>91</v>
      </c>
      <c r="E22" s="68" t="s">
        <v>87</v>
      </c>
      <c r="F22" s="89"/>
      <c r="G22" s="45">
        <v>41414</v>
      </c>
      <c r="H22" s="45">
        <v>41428</v>
      </c>
      <c r="I22" s="43">
        <v>19</v>
      </c>
      <c r="J22" s="43">
        <v>2</v>
      </c>
      <c r="K22" s="3">
        <v>10</v>
      </c>
      <c r="L22" s="55">
        <f t="array" ref="L22">IF(ISNA(INDEX($O$2:$DA$2,1,MATCH(1,IF($O22:$DM22,1),0))),"",INDEX($O$2:$DA$2,1,MATCH(1,IF($O22:$DM22,1),0)))</f>
        <v>41407</v>
      </c>
      <c r="M22" s="55" t="str">
        <f t="shared" si="1"/>
        <v/>
      </c>
      <c r="N22" s="56">
        <f t="shared" si="3"/>
        <v>2</v>
      </c>
      <c r="O22" s="51"/>
      <c r="P22" s="51"/>
      <c r="Q22" s="51"/>
      <c r="R22" s="51"/>
      <c r="S22" s="51">
        <v>2</v>
      </c>
      <c r="T22" s="51"/>
      <c r="U22" s="51"/>
      <c r="V22" s="51"/>
      <c r="W22" s="51"/>
      <c r="X22" s="5"/>
      <c r="Y22" s="18"/>
      <c r="Z22" s="18"/>
      <c r="AA22" s="18"/>
      <c r="AB22" s="18"/>
      <c r="AC22" s="18"/>
      <c r="AD22" s="18"/>
      <c r="AE22" s="18"/>
      <c r="AF22" s="18"/>
      <c r="AG22" s="18"/>
      <c r="AH22" s="18"/>
    </row>
    <row r="23" spans="1:34" ht="25.5" customHeight="1" x14ac:dyDescent="0.2">
      <c r="A23" s="18"/>
      <c r="B23" s="4">
        <v>21</v>
      </c>
      <c r="C23" s="68" t="s">
        <v>79</v>
      </c>
      <c r="D23" s="68" t="s">
        <v>91</v>
      </c>
      <c r="E23" s="68" t="s">
        <v>88</v>
      </c>
      <c r="F23" s="89"/>
      <c r="G23" s="45">
        <v>41421</v>
      </c>
      <c r="H23" s="45">
        <v>41428</v>
      </c>
      <c r="I23" s="43">
        <v>20</v>
      </c>
      <c r="J23" s="43">
        <v>1</v>
      </c>
      <c r="K23" s="3">
        <v>1</v>
      </c>
      <c r="L23" s="55">
        <f t="array" ref="L23">IF(ISNA(INDEX($O$2:$DA$2,1,MATCH(1,IF($O23:$DM23,1),0))),"",INDEX($O$2:$DA$2,1,MATCH(1,IF($O23:$DM23,1),0)))</f>
        <v>41407</v>
      </c>
      <c r="M23" s="55" t="str">
        <f t="shared" si="1"/>
        <v/>
      </c>
      <c r="N23" s="56">
        <f t="shared" si="3"/>
        <v>0.25</v>
      </c>
      <c r="O23" s="51"/>
      <c r="P23" s="51"/>
      <c r="Q23" s="51"/>
      <c r="R23" s="51"/>
      <c r="S23" s="51">
        <v>0.25</v>
      </c>
      <c r="T23" s="51"/>
      <c r="U23" s="51"/>
      <c r="V23" s="51"/>
      <c r="W23" s="51"/>
      <c r="X23" s="5"/>
      <c r="Y23" s="18"/>
      <c r="Z23" s="18"/>
      <c r="AA23" s="18"/>
      <c r="AB23" s="18"/>
      <c r="AC23" s="18"/>
      <c r="AD23" s="18"/>
      <c r="AE23" s="18"/>
      <c r="AF23" s="18"/>
      <c r="AG23" s="18"/>
      <c r="AH23" s="18"/>
    </row>
    <row r="24" spans="1:34" ht="25.5" customHeight="1" x14ac:dyDescent="0.2">
      <c r="A24" s="18"/>
      <c r="B24" s="4">
        <v>22</v>
      </c>
      <c r="C24" s="68" t="s">
        <v>79</v>
      </c>
      <c r="D24" s="68" t="s">
        <v>92</v>
      </c>
      <c r="E24" s="68" t="s">
        <v>93</v>
      </c>
      <c r="F24" s="89"/>
      <c r="G24" s="45">
        <v>41414</v>
      </c>
      <c r="H24" s="45">
        <v>41428</v>
      </c>
      <c r="I24" s="46"/>
      <c r="J24" s="43">
        <v>2</v>
      </c>
      <c r="K24" s="3">
        <v>8</v>
      </c>
      <c r="L24" s="55">
        <f t="array" ref="L24">IF(ISNA(INDEX($O$2:$DA$2,1,MATCH(1,IF($O24:$DM24,1),0))),"",INDEX($O$2:$DA$2,1,MATCH(1,IF($O24:$DM24,1),0)))</f>
        <v>41414</v>
      </c>
      <c r="M24" s="55" t="str">
        <f t="shared" si="1"/>
        <v/>
      </c>
      <c r="N24" s="56">
        <f t="shared" si="3"/>
        <v>0.75</v>
      </c>
      <c r="O24" s="51"/>
      <c r="P24" s="51"/>
      <c r="Q24" s="51"/>
      <c r="R24" s="51"/>
      <c r="S24" s="51"/>
      <c r="T24" s="51">
        <f>0.75</f>
        <v>0.75</v>
      </c>
      <c r="U24" s="51"/>
      <c r="V24" s="51"/>
      <c r="W24" s="51"/>
      <c r="X24" s="5"/>
      <c r="Y24" s="18"/>
      <c r="Z24" s="18"/>
      <c r="AA24" s="18"/>
      <c r="AB24" s="18"/>
      <c r="AC24" s="18"/>
      <c r="AD24" s="18"/>
      <c r="AE24" s="18"/>
      <c r="AF24" s="18"/>
      <c r="AG24" s="18"/>
      <c r="AH24" s="18"/>
    </row>
    <row r="25" spans="1:34" ht="25.5" customHeight="1" x14ac:dyDescent="0.2">
      <c r="A25" s="18"/>
      <c r="B25" s="4">
        <v>23</v>
      </c>
      <c r="C25" s="68" t="s">
        <v>79</v>
      </c>
      <c r="D25" s="68" t="s">
        <v>92</v>
      </c>
      <c r="E25" s="68" t="s">
        <v>94</v>
      </c>
      <c r="F25" s="89"/>
      <c r="G25" s="45">
        <v>41407</v>
      </c>
      <c r="H25" s="45">
        <v>41414</v>
      </c>
      <c r="I25" s="46"/>
      <c r="J25" s="43">
        <v>1</v>
      </c>
      <c r="K25" s="3">
        <v>1</v>
      </c>
      <c r="L25" s="55">
        <f t="array" ref="L25">IF(ISNA(INDEX($O$2:$DA$2,1,MATCH(1,IF($O25:$DM25,1),0))),"",INDEX($O$2:$DA$2,1,MATCH(1,IF($O25:$DM25,1),0)))</f>
        <v>41407</v>
      </c>
      <c r="M25" s="55">
        <f t="shared" si="1"/>
        <v>41407</v>
      </c>
      <c r="N25" s="56">
        <f t="shared" si="3"/>
        <v>0.45</v>
      </c>
      <c r="O25" s="51"/>
      <c r="P25" s="51"/>
      <c r="Q25" s="51"/>
      <c r="R25" s="51"/>
      <c r="S25" s="51">
        <v>0.45</v>
      </c>
      <c r="T25" s="51" t="s">
        <v>112</v>
      </c>
      <c r="U25" s="51" t="s">
        <v>112</v>
      </c>
      <c r="V25" s="51" t="s">
        <v>112</v>
      </c>
      <c r="W25" s="51" t="s">
        <v>112</v>
      </c>
      <c r="X25" s="5"/>
      <c r="Y25" s="18"/>
      <c r="Z25" s="18"/>
      <c r="AA25" s="18"/>
      <c r="AB25" s="18"/>
      <c r="AC25" s="18"/>
      <c r="AD25" s="18"/>
      <c r="AE25" s="18"/>
      <c r="AF25" s="18"/>
      <c r="AG25" s="18"/>
      <c r="AH25" s="18"/>
    </row>
    <row r="26" spans="1:34" ht="25.5" customHeight="1" x14ac:dyDescent="0.2">
      <c r="A26" s="18"/>
      <c r="B26" s="4">
        <v>24</v>
      </c>
      <c r="C26" s="68" t="s">
        <v>79</v>
      </c>
      <c r="D26" s="68" t="s">
        <v>92</v>
      </c>
      <c r="E26" s="68" t="s">
        <v>95</v>
      </c>
      <c r="F26" s="89"/>
      <c r="G26" s="45">
        <v>41414</v>
      </c>
      <c r="H26" s="45">
        <v>41421</v>
      </c>
      <c r="I26" s="43">
        <v>23</v>
      </c>
      <c r="J26" s="43">
        <v>1</v>
      </c>
      <c r="K26" s="3">
        <v>3</v>
      </c>
      <c r="L26" s="55" t="str">
        <f t="array" ref="L26">IF(ISNA(INDEX($O$2:$DA$2,1,MATCH(1,IF($O26:$DM26,1),0))),"",INDEX($O$2:$DA$2,1,MATCH(1,IF($O26:$DM26,1),0)))</f>
        <v/>
      </c>
      <c r="M26" s="55" t="str">
        <f t="shared" si="1"/>
        <v/>
      </c>
      <c r="N26" s="56">
        <f t="shared" si="3"/>
        <v>0</v>
      </c>
      <c r="O26" s="51"/>
      <c r="P26" s="51"/>
      <c r="Q26" s="51"/>
      <c r="R26" s="51"/>
      <c r="S26" s="51"/>
      <c r="T26" s="51"/>
      <c r="U26" s="51"/>
      <c r="V26" s="51"/>
      <c r="W26" s="51"/>
      <c r="X26" s="5"/>
      <c r="Y26" s="18"/>
      <c r="Z26" s="18"/>
      <c r="AA26" s="18"/>
      <c r="AB26" s="18"/>
      <c r="AC26" s="18"/>
      <c r="AD26" s="18"/>
      <c r="AE26" s="18"/>
      <c r="AF26" s="18"/>
      <c r="AG26" s="18"/>
      <c r="AH26" s="18"/>
    </row>
    <row r="27" spans="1:34" ht="25.5" customHeight="1" x14ac:dyDescent="0.2">
      <c r="A27" s="18"/>
      <c r="B27" s="4">
        <v>25</v>
      </c>
      <c r="C27" s="68" t="s">
        <v>79</v>
      </c>
      <c r="D27" s="68" t="s">
        <v>92</v>
      </c>
      <c r="E27" s="68" t="s">
        <v>96</v>
      </c>
      <c r="F27" s="89"/>
      <c r="G27" s="45">
        <v>41421</v>
      </c>
      <c r="H27" s="45">
        <v>41428</v>
      </c>
      <c r="I27" s="43">
        <v>10</v>
      </c>
      <c r="J27" s="43">
        <v>1</v>
      </c>
      <c r="K27" s="3">
        <v>1</v>
      </c>
      <c r="L27" s="55" t="str">
        <f t="array" ref="L27">IF(ISNA(INDEX($O$2:$DA$2,1,MATCH(1,IF($O27:$DM27,1),0))),"",INDEX($O$2:$DA$2,1,MATCH(1,IF($O27:$DM27,1),0)))</f>
        <v/>
      </c>
      <c r="M27" s="55" t="str">
        <f t="shared" si="1"/>
        <v/>
      </c>
      <c r="N27" s="56">
        <f t="shared" si="3"/>
        <v>0</v>
      </c>
      <c r="O27" s="51"/>
      <c r="P27" s="51"/>
      <c r="Q27" s="51"/>
      <c r="R27" s="51"/>
      <c r="S27" s="51"/>
      <c r="T27" s="51"/>
      <c r="U27" s="51"/>
      <c r="V27" s="51"/>
      <c r="W27" s="51"/>
      <c r="X27" s="5"/>
      <c r="Y27" s="18"/>
      <c r="Z27" s="18"/>
      <c r="AA27" s="18"/>
      <c r="AB27" s="18"/>
      <c r="AC27" s="18"/>
      <c r="AD27" s="18"/>
      <c r="AE27" s="18"/>
      <c r="AF27" s="18"/>
      <c r="AG27" s="18"/>
      <c r="AH27" s="18"/>
    </row>
    <row r="28" spans="1:34" ht="25.5" customHeight="1" x14ac:dyDescent="0.2">
      <c r="A28" s="18"/>
      <c r="B28" s="4">
        <v>26</v>
      </c>
      <c r="C28" s="68" t="s">
        <v>79</v>
      </c>
      <c r="D28" s="68" t="s">
        <v>97</v>
      </c>
      <c r="E28" s="68" t="s">
        <v>86</v>
      </c>
      <c r="F28" s="89"/>
      <c r="G28" s="45">
        <v>41407</v>
      </c>
      <c r="H28" s="45">
        <v>41414</v>
      </c>
      <c r="I28" s="46"/>
      <c r="J28" s="43">
        <v>1</v>
      </c>
      <c r="K28" s="3">
        <v>2</v>
      </c>
      <c r="L28" s="55">
        <f t="array" ref="L28">IF(ISNA(INDEX($O$2:$DA$2,1,MATCH(1,IF($O28:$DM28,1),0))),"",INDEX($O$2:$DA$2,1,MATCH(1,IF($O28:$DM28,1),0)))</f>
        <v>41407</v>
      </c>
      <c r="M28" s="55" t="str">
        <f t="shared" si="1"/>
        <v/>
      </c>
      <c r="N28" s="56">
        <f t="shared" si="3"/>
        <v>4.5</v>
      </c>
      <c r="O28" s="51"/>
      <c r="P28" s="51"/>
      <c r="Q28" s="51"/>
      <c r="R28" s="51"/>
      <c r="S28" s="51">
        <v>2.5</v>
      </c>
      <c r="T28" s="51">
        <f>1.25+0.75</f>
        <v>2</v>
      </c>
      <c r="U28" s="51"/>
      <c r="V28" s="51"/>
      <c r="W28" s="51"/>
      <c r="X28" s="5"/>
      <c r="Y28" s="18"/>
      <c r="Z28" s="18"/>
      <c r="AA28" s="18"/>
      <c r="AB28" s="18"/>
      <c r="AC28" s="18"/>
      <c r="AD28" s="18"/>
      <c r="AE28" s="18"/>
      <c r="AF28" s="18"/>
      <c r="AG28" s="18"/>
      <c r="AH28" s="18"/>
    </row>
    <row r="29" spans="1:34" ht="25.5" customHeight="1" x14ac:dyDescent="0.2">
      <c r="A29" s="18"/>
      <c r="B29" s="4">
        <v>27</v>
      </c>
      <c r="C29" s="68" t="s">
        <v>79</v>
      </c>
      <c r="D29" s="68" t="s">
        <v>97</v>
      </c>
      <c r="E29" s="68" t="s">
        <v>87</v>
      </c>
      <c r="F29" s="89"/>
      <c r="G29" s="45">
        <v>41414</v>
      </c>
      <c r="H29" s="45">
        <v>41421</v>
      </c>
      <c r="I29" s="43">
        <v>26</v>
      </c>
      <c r="J29" s="43">
        <v>1</v>
      </c>
      <c r="K29" s="3">
        <v>5</v>
      </c>
      <c r="L29" s="55">
        <f t="array" ref="L29">IF(ISNA(INDEX($O$2:$DA$2,1,MATCH(1,IF($O29:$DM29,1),0))),"",INDEX($O$2:$DA$2,1,MATCH(1,IF($O29:$DM29,1),0)))</f>
        <v>41407</v>
      </c>
      <c r="M29" s="55" t="str">
        <f t="shared" si="1"/>
        <v/>
      </c>
      <c r="N29" s="56">
        <f t="shared" si="3"/>
        <v>6</v>
      </c>
      <c r="O29" s="51"/>
      <c r="P29" s="51"/>
      <c r="Q29" s="51"/>
      <c r="R29" s="51"/>
      <c r="S29" s="51">
        <v>2.5</v>
      </c>
      <c r="T29" s="51">
        <f>2+1.5</f>
        <v>3.5</v>
      </c>
      <c r="U29" s="51"/>
      <c r="V29" s="51"/>
      <c r="W29" s="51"/>
      <c r="X29" s="5"/>
      <c r="Y29" s="18"/>
      <c r="Z29" s="18"/>
      <c r="AA29" s="18"/>
      <c r="AB29" s="18"/>
      <c r="AC29" s="18"/>
      <c r="AD29" s="18"/>
      <c r="AE29" s="18"/>
      <c r="AF29" s="18"/>
      <c r="AG29" s="18"/>
      <c r="AH29" s="18"/>
    </row>
    <row r="30" spans="1:34" ht="25.5" customHeight="1" x14ac:dyDescent="0.2">
      <c r="A30" s="18"/>
      <c r="B30" s="4">
        <v>28</v>
      </c>
      <c r="C30" s="68" t="s">
        <v>79</v>
      </c>
      <c r="D30" s="68" t="s">
        <v>97</v>
      </c>
      <c r="E30" s="68" t="s">
        <v>88</v>
      </c>
      <c r="F30" s="89"/>
      <c r="G30" s="45">
        <v>41414</v>
      </c>
      <c r="H30" s="45">
        <v>41421</v>
      </c>
      <c r="I30" s="43">
        <v>27</v>
      </c>
      <c r="J30" s="43">
        <v>1</v>
      </c>
      <c r="K30" s="3">
        <v>1</v>
      </c>
      <c r="L30" s="55" t="str">
        <f t="array" ref="L30">IF(ISNA(INDEX($O$2:$DA$2,1,MATCH(1,IF($O30:$DM30,1),0))),"",INDEX($O$2:$DA$2,1,MATCH(1,IF($O30:$DM30,1),0)))</f>
        <v/>
      </c>
      <c r="M30" s="55" t="str">
        <f t="shared" si="1"/>
        <v/>
      </c>
      <c r="N30" s="56">
        <f t="shared" si="3"/>
        <v>0</v>
      </c>
      <c r="O30" s="51"/>
      <c r="P30" s="51"/>
      <c r="Q30" s="51"/>
      <c r="R30" s="51"/>
      <c r="S30" s="51"/>
      <c r="T30" s="51"/>
      <c r="U30" s="51"/>
      <c r="V30" s="51"/>
      <c r="W30" s="51"/>
      <c r="X30" s="5"/>
      <c r="Y30" s="18"/>
      <c r="Z30" s="18"/>
      <c r="AA30" s="18"/>
      <c r="AB30" s="18"/>
      <c r="AC30" s="18"/>
      <c r="AD30" s="18"/>
      <c r="AE30" s="18"/>
      <c r="AF30" s="18"/>
      <c r="AG30" s="18"/>
      <c r="AH30" s="18"/>
    </row>
    <row r="31" spans="1:34" ht="25.5" customHeight="1" x14ac:dyDescent="0.2">
      <c r="A31" s="18"/>
      <c r="B31" s="4">
        <v>29</v>
      </c>
      <c r="C31" s="68" t="s">
        <v>79</v>
      </c>
      <c r="D31" s="68" t="s">
        <v>83</v>
      </c>
      <c r="E31" s="28" t="s">
        <v>98</v>
      </c>
      <c r="F31" s="89"/>
      <c r="G31" s="45">
        <v>41414</v>
      </c>
      <c r="H31" s="45">
        <v>41421</v>
      </c>
      <c r="I31" s="43">
        <v>10</v>
      </c>
      <c r="J31" s="43">
        <v>2</v>
      </c>
      <c r="K31" s="3">
        <v>5</v>
      </c>
      <c r="L31" s="55">
        <f t="array" ref="L31">IF(ISNA(INDEX($O$2:$DA$2,1,MATCH(1,IF($O31:$DM31,1),0))),"",INDEX($O$2:$DA$2,1,MATCH(1,IF($O31:$DM31,1),0)))</f>
        <v>41407</v>
      </c>
      <c r="M31" s="55" t="str">
        <f t="shared" si="1"/>
        <v/>
      </c>
      <c r="N31" s="56">
        <f t="shared" si="3"/>
        <v>0.75</v>
      </c>
      <c r="O31" s="51"/>
      <c r="P31" s="51" t="str">
        <f t="shared" ref="P31" si="8">IF(ISNUMBER(O31)," ",IF(O31="X","X"," "))</f>
        <v xml:space="preserve"> </v>
      </c>
      <c r="Q31" s="51"/>
      <c r="R31" s="51"/>
      <c r="S31" s="51">
        <v>0.75</v>
      </c>
      <c r="T31" s="51" t="str">
        <f t="shared" ref="S31:W32" si="9">IF(ISNUMBER(S31)," ",IF(S31="X","X"," "))</f>
        <v xml:space="preserve"> </v>
      </c>
      <c r="U31" s="51" t="str">
        <f t="shared" si="9"/>
        <v xml:space="preserve"> </v>
      </c>
      <c r="V31" s="51" t="str">
        <f t="shared" si="9"/>
        <v xml:space="preserve"> </v>
      </c>
      <c r="W31" s="51" t="str">
        <f t="shared" si="9"/>
        <v xml:space="preserve"> </v>
      </c>
      <c r="X31" s="5"/>
      <c r="Y31" s="18"/>
      <c r="Z31" s="18"/>
      <c r="AA31" s="18"/>
      <c r="AB31" s="18"/>
      <c r="AC31" s="18"/>
      <c r="AD31" s="18"/>
      <c r="AE31" s="18"/>
      <c r="AF31" s="18"/>
      <c r="AG31" s="18"/>
      <c r="AH31" s="18"/>
    </row>
    <row r="32" spans="1:34" ht="25.5" customHeight="1" x14ac:dyDescent="0.2">
      <c r="A32" s="18"/>
      <c r="B32" s="4">
        <v>30</v>
      </c>
      <c r="C32" s="68" t="s">
        <v>79</v>
      </c>
      <c r="D32" s="68" t="s">
        <v>83</v>
      </c>
      <c r="E32" s="68" t="s">
        <v>99</v>
      </c>
      <c r="F32" s="89"/>
      <c r="G32" s="45">
        <v>41414</v>
      </c>
      <c r="H32" s="45">
        <v>41428</v>
      </c>
      <c r="I32" s="43">
        <v>10</v>
      </c>
      <c r="J32" s="43">
        <v>2</v>
      </c>
      <c r="K32" s="3">
        <v>8</v>
      </c>
      <c r="L32" s="55">
        <f t="array" ref="L32">IF(ISNA(INDEX($O$2:$DA$2,1,MATCH(1,IF($O32:$DM32,1),0))),"",INDEX($O$2:$DA$2,1,MATCH(1,IF($O32:$DM32,1),0)))</f>
        <v>41414</v>
      </c>
      <c r="M32" s="55" t="str">
        <f t="shared" si="1"/>
        <v/>
      </c>
      <c r="N32" s="56">
        <f t="shared" si="3"/>
        <v>0.75</v>
      </c>
      <c r="O32" s="51"/>
      <c r="P32" s="51" t="str">
        <f t="shared" ref="P32:R32" si="10">IF(ISNUMBER(O32)," ",IF(O32="X","X"," "))</f>
        <v xml:space="preserve"> </v>
      </c>
      <c r="Q32" s="51" t="str">
        <f t="shared" si="10"/>
        <v xml:space="preserve"> </v>
      </c>
      <c r="R32" s="51" t="str">
        <f t="shared" si="10"/>
        <v xml:space="preserve"> </v>
      </c>
      <c r="S32" s="51" t="str">
        <f t="shared" si="9"/>
        <v xml:space="preserve"> </v>
      </c>
      <c r="T32" s="51">
        <f>0.75</f>
        <v>0.75</v>
      </c>
      <c r="U32" s="51" t="str">
        <f t="shared" si="9"/>
        <v xml:space="preserve"> </v>
      </c>
      <c r="V32" s="51" t="str">
        <f t="shared" si="9"/>
        <v xml:space="preserve"> </v>
      </c>
      <c r="W32" s="51" t="str">
        <f t="shared" si="9"/>
        <v xml:space="preserve"> </v>
      </c>
      <c r="X32" s="5"/>
      <c r="Y32" s="18"/>
      <c r="Z32" s="18"/>
      <c r="AA32" s="18"/>
      <c r="AB32" s="18"/>
      <c r="AC32" s="18"/>
      <c r="AD32" s="18"/>
      <c r="AE32" s="18"/>
      <c r="AF32" s="18"/>
      <c r="AG32" s="18"/>
      <c r="AH32" s="18"/>
    </row>
    <row r="33" spans="1:34" x14ac:dyDescent="0.2">
      <c r="A33" s="18"/>
      <c r="B33" s="4">
        <v>31</v>
      </c>
      <c r="C33" s="68" t="s">
        <v>79</v>
      </c>
      <c r="D33" s="68" t="s">
        <v>126</v>
      </c>
      <c r="E33" s="68" t="s">
        <v>124</v>
      </c>
      <c r="F33" s="89"/>
      <c r="G33" s="45">
        <v>41421</v>
      </c>
      <c r="H33" s="45">
        <v>41428</v>
      </c>
      <c r="I33" s="46"/>
      <c r="J33" s="43">
        <v>1</v>
      </c>
      <c r="K33" s="3">
        <v>5</v>
      </c>
      <c r="L33" s="55">
        <f t="array" ref="L33">IF(ISNA(INDEX($O$2:$DA$2,1,MATCH(1,IF($O33:$DM33,1),0))),"",INDEX($O$2:$DA$2,1,MATCH(1,IF($O33:$DM33,1),0)))</f>
        <v>41414</v>
      </c>
      <c r="M33" s="55" t="str">
        <f t="shared" ref="M33:M34" si="11">IF(ISNA(MATCH("X",O33:W33,0)),"",INDEX($O$2:$X$2,1,MATCH("X",O33:W33,0)-1))</f>
        <v/>
      </c>
      <c r="N33" s="56">
        <f t="shared" ref="N33:N34" si="12">SUM(O33:CG33)</f>
        <v>1.5</v>
      </c>
      <c r="O33" s="51"/>
      <c r="P33" s="51"/>
      <c r="Q33" s="51"/>
      <c r="R33" s="51"/>
      <c r="S33" s="51"/>
      <c r="T33" s="51">
        <v>1.5</v>
      </c>
      <c r="U33" s="51"/>
      <c r="V33" s="51"/>
      <c r="W33" s="51"/>
      <c r="X33" s="5"/>
      <c r="Y33" s="18"/>
      <c r="Z33" s="18"/>
      <c r="AA33" s="18"/>
      <c r="AB33" s="18"/>
      <c r="AC33" s="18"/>
      <c r="AD33" s="18"/>
      <c r="AE33" s="18"/>
      <c r="AF33" s="18"/>
      <c r="AG33" s="18"/>
      <c r="AH33" s="18"/>
    </row>
    <row r="34" spans="1:34" x14ac:dyDescent="0.2">
      <c r="A34" s="18"/>
      <c r="B34" s="4">
        <v>32</v>
      </c>
      <c r="C34" s="68" t="s">
        <v>79</v>
      </c>
      <c r="D34" s="68" t="s">
        <v>126</v>
      </c>
      <c r="E34" s="68" t="s">
        <v>125</v>
      </c>
      <c r="F34" s="89"/>
      <c r="G34" s="45">
        <v>41421</v>
      </c>
      <c r="H34" s="45">
        <v>41428</v>
      </c>
      <c r="I34" s="43"/>
      <c r="J34" s="43">
        <v>1</v>
      </c>
      <c r="K34" s="3">
        <v>5</v>
      </c>
      <c r="L34" s="55">
        <f t="array" ref="L34">IF(ISNA(INDEX($O$2:$DA$2,1,MATCH(1,IF($O34:$DM34,1),0))),"",INDEX($O$2:$DA$2,1,MATCH(1,IF($O34:$DM34,1),0)))</f>
        <v>41414</v>
      </c>
      <c r="M34" s="55" t="str">
        <f t="shared" si="11"/>
        <v/>
      </c>
      <c r="N34" s="56">
        <f t="shared" si="12"/>
        <v>2.75</v>
      </c>
      <c r="O34" s="51"/>
      <c r="P34" s="51"/>
      <c r="Q34" s="51"/>
      <c r="R34" s="51"/>
      <c r="S34" s="51"/>
      <c r="T34" s="51">
        <v>2.75</v>
      </c>
      <c r="U34" s="51"/>
      <c r="V34" s="51"/>
      <c r="W34" s="51"/>
      <c r="X34" s="5"/>
      <c r="Y34" s="18"/>
      <c r="Z34" s="18"/>
      <c r="AA34" s="18"/>
      <c r="AB34" s="18"/>
      <c r="AC34" s="18"/>
      <c r="AD34" s="18"/>
      <c r="AE34" s="18"/>
      <c r="AF34" s="18"/>
      <c r="AG34" s="18"/>
      <c r="AH34" s="18"/>
    </row>
    <row r="35" spans="1:34" ht="25.5" customHeight="1" x14ac:dyDescent="0.2">
      <c r="A35" s="18"/>
      <c r="B35" s="4">
        <v>33</v>
      </c>
      <c r="C35" s="68" t="s">
        <v>79</v>
      </c>
      <c r="D35" s="68" t="s">
        <v>100</v>
      </c>
      <c r="E35" s="68" t="s">
        <v>75</v>
      </c>
      <c r="F35" s="89"/>
      <c r="G35" s="45">
        <v>41407</v>
      </c>
      <c r="H35" s="45">
        <v>41414</v>
      </c>
      <c r="I35" s="43">
        <v>10</v>
      </c>
      <c r="J35" s="43">
        <v>1</v>
      </c>
      <c r="K35" s="3">
        <v>10</v>
      </c>
      <c r="L35" s="55">
        <f t="array" ref="L35">IF(ISNA(INDEX($O$2:$DA$2,1,MATCH(1,IF($O33:$DM33,1),0))),"",INDEX($O$2:$DA$2,1,MATCH(1,IF($O33:$DM33,1),0)))</f>
        <v>41414</v>
      </c>
      <c r="M35" s="55" t="str">
        <f t="shared" ref="M35:M47" si="13">IF(ISNA(MATCH("X",O35:W35,0)),"",INDEX($O$2:$X$2,1,MATCH("X",O35:W35,0)-1))</f>
        <v/>
      </c>
      <c r="N35" s="56">
        <f t="shared" ref="N35:N59" si="14">SUM(O35:CG35)</f>
        <v>3.25</v>
      </c>
      <c r="O35" s="51"/>
      <c r="P35" s="51" t="str">
        <f t="shared" ref="P35:R35" si="15">IF(ISNUMBER(O35)," ",IF(O35="X","X"," "))</f>
        <v xml:space="preserve"> </v>
      </c>
      <c r="Q35" s="51" t="str">
        <f t="shared" si="15"/>
        <v xml:space="preserve"> </v>
      </c>
      <c r="R35" s="51" t="str">
        <f t="shared" si="15"/>
        <v xml:space="preserve"> </v>
      </c>
      <c r="S35" s="51">
        <f>1.25+1</f>
        <v>2.25</v>
      </c>
      <c r="T35" s="51">
        <v>1</v>
      </c>
      <c r="U35" s="51" t="str">
        <f t="shared" ref="S35:W39" si="16">IF(ISNUMBER(T35)," ",IF(T35="X","X"," "))</f>
        <v xml:space="preserve"> </v>
      </c>
      <c r="V35" s="51" t="str">
        <f t="shared" si="16"/>
        <v xml:space="preserve"> </v>
      </c>
      <c r="W35" s="51" t="str">
        <f t="shared" si="16"/>
        <v xml:space="preserve"> </v>
      </c>
      <c r="X35" s="5"/>
      <c r="Y35" s="18"/>
      <c r="Z35" s="18"/>
      <c r="AA35" s="18"/>
      <c r="AB35" s="18"/>
      <c r="AC35" s="18"/>
      <c r="AD35" s="18"/>
      <c r="AE35" s="18"/>
      <c r="AF35" s="18"/>
      <c r="AG35" s="18"/>
      <c r="AH35" s="18"/>
    </row>
    <row r="36" spans="1:34" ht="25.5" customHeight="1" x14ac:dyDescent="0.2">
      <c r="A36" s="18"/>
      <c r="B36" s="4">
        <v>34</v>
      </c>
      <c r="C36" s="68" t="s">
        <v>79</v>
      </c>
      <c r="D36" s="68" t="s">
        <v>100</v>
      </c>
      <c r="E36" s="68" t="s">
        <v>76</v>
      </c>
      <c r="F36" s="89"/>
      <c r="G36" s="45">
        <v>41414</v>
      </c>
      <c r="H36" s="45">
        <v>41421</v>
      </c>
      <c r="I36" s="43">
        <v>31</v>
      </c>
      <c r="J36" s="43">
        <v>1.5</v>
      </c>
      <c r="K36" s="3">
        <v>0</v>
      </c>
      <c r="L36" s="55">
        <f t="array" ref="L36">IF(ISNA(INDEX($O$2:$DA$2,1,MATCH(1,IF($O34:$DM34,1),0))),"",INDEX($O$2:$DA$2,1,MATCH(1,IF($O34:$DM34,1),0)))</f>
        <v>41414</v>
      </c>
      <c r="M36" s="55" t="str">
        <f t="shared" si="13"/>
        <v/>
      </c>
      <c r="N36" s="56">
        <f t="shared" si="14"/>
        <v>0</v>
      </c>
      <c r="O36" s="51"/>
      <c r="P36" s="51" t="str">
        <f t="shared" ref="P36:R36" si="17">IF(ISNUMBER(O36)," ",IF(O36="X","X"," "))</f>
        <v xml:space="preserve"> </v>
      </c>
      <c r="Q36" s="51" t="str">
        <f t="shared" si="17"/>
        <v xml:space="preserve"> </v>
      </c>
      <c r="R36" s="51" t="str">
        <f t="shared" si="17"/>
        <v xml:space="preserve"> </v>
      </c>
      <c r="S36" s="51" t="str">
        <f t="shared" si="16"/>
        <v xml:space="preserve"> </v>
      </c>
      <c r="T36" s="51" t="str">
        <f t="shared" si="16"/>
        <v xml:space="preserve"> </v>
      </c>
      <c r="U36" s="51" t="str">
        <f t="shared" si="16"/>
        <v xml:space="preserve"> </v>
      </c>
      <c r="V36" s="51" t="str">
        <f t="shared" si="16"/>
        <v xml:space="preserve"> </v>
      </c>
      <c r="W36" s="51" t="str">
        <f t="shared" si="16"/>
        <v xml:space="preserve"> </v>
      </c>
      <c r="X36" s="5"/>
      <c r="Y36" s="18"/>
      <c r="Z36" s="18"/>
      <c r="AA36" s="18"/>
      <c r="AB36" s="18"/>
      <c r="AC36" s="18"/>
      <c r="AD36" s="18"/>
      <c r="AE36" s="18"/>
      <c r="AF36" s="18"/>
      <c r="AG36" s="18"/>
      <c r="AH36" s="18"/>
    </row>
    <row r="37" spans="1:34" ht="24.75" customHeight="1" x14ac:dyDescent="0.2">
      <c r="A37" s="18"/>
      <c r="B37" s="4">
        <v>35</v>
      </c>
      <c r="C37" s="68" t="s">
        <v>79</v>
      </c>
      <c r="D37" s="68" t="s">
        <v>100</v>
      </c>
      <c r="E37" s="68" t="s">
        <v>77</v>
      </c>
      <c r="F37" s="89"/>
      <c r="G37" s="45">
        <v>41414</v>
      </c>
      <c r="H37" s="45">
        <v>41421</v>
      </c>
      <c r="I37" s="43">
        <v>32</v>
      </c>
      <c r="J37" s="43">
        <v>1</v>
      </c>
      <c r="K37" s="3">
        <v>3</v>
      </c>
      <c r="L37" s="55">
        <f t="array" ref="L37">IF(ISNA(INDEX($O$2:$DA$2,1,MATCH(1,IF($O35:$DM35,1),0))),"",INDEX($O$2:$DA$2,1,MATCH(1,IF($O35:$DM35,1),0)))</f>
        <v>41407</v>
      </c>
      <c r="M37" s="55" t="str">
        <f t="shared" si="13"/>
        <v/>
      </c>
      <c r="N37" s="56">
        <f t="shared" ref="N37:N58" si="18">SUM(O37:CG37)</f>
        <v>1.25</v>
      </c>
      <c r="O37" s="51"/>
      <c r="P37" s="51" t="str">
        <f t="shared" ref="P37:R37" si="19">IF(ISNUMBER(O37)," ",IF(O37="X","X"," "))</f>
        <v xml:space="preserve"> </v>
      </c>
      <c r="Q37" s="51" t="str">
        <f t="shared" si="19"/>
        <v xml:space="preserve"> </v>
      </c>
      <c r="R37" s="51" t="str">
        <f t="shared" si="19"/>
        <v xml:space="preserve"> </v>
      </c>
      <c r="S37" s="51" t="str">
        <f t="shared" si="16"/>
        <v xml:space="preserve"> </v>
      </c>
      <c r="T37" s="51">
        <f>1.25</f>
        <v>1.25</v>
      </c>
      <c r="U37" s="51" t="str">
        <f t="shared" si="16"/>
        <v xml:space="preserve"> </v>
      </c>
      <c r="V37" s="51" t="str">
        <f t="shared" si="16"/>
        <v xml:space="preserve"> </v>
      </c>
      <c r="W37" s="51" t="str">
        <f t="shared" si="16"/>
        <v xml:space="preserve"> </v>
      </c>
      <c r="X37" s="5"/>
      <c r="Y37" s="18"/>
      <c r="Z37" s="18"/>
      <c r="AA37" s="18"/>
      <c r="AB37" s="18"/>
      <c r="AC37" s="18"/>
      <c r="AD37" s="18"/>
      <c r="AE37" s="18"/>
      <c r="AF37" s="18"/>
      <c r="AG37" s="18"/>
      <c r="AH37" s="18"/>
    </row>
    <row r="38" spans="1:34" x14ac:dyDescent="0.2">
      <c r="A38" s="18"/>
      <c r="B38" s="4">
        <v>36</v>
      </c>
      <c r="C38" s="68" t="s">
        <v>79</v>
      </c>
      <c r="D38" s="68" t="s">
        <v>101</v>
      </c>
      <c r="E38" s="68" t="s">
        <v>123</v>
      </c>
      <c r="F38" s="89"/>
      <c r="G38" s="45">
        <v>41421</v>
      </c>
      <c r="H38" s="45">
        <v>41428</v>
      </c>
      <c r="I38" s="43">
        <v>33</v>
      </c>
      <c r="J38" s="43">
        <v>2</v>
      </c>
      <c r="K38" s="3">
        <v>5</v>
      </c>
      <c r="L38" s="55" t="str">
        <f t="array" ref="L38">IF(ISNA(INDEX($O$2:$DA$2,1,MATCH(1,IF($O36:$DM36,1),0))),"",INDEX($O$2:$DA$2,1,MATCH(1,IF($O36:$DM36,1),0)))</f>
        <v/>
      </c>
      <c r="M38" s="55" t="str">
        <f t="shared" si="13"/>
        <v/>
      </c>
      <c r="N38" s="56">
        <f t="shared" si="18"/>
        <v>0</v>
      </c>
      <c r="O38" s="51"/>
      <c r="P38" s="51" t="str">
        <f t="shared" ref="P38:R38" si="20">IF(ISNUMBER(O38)," ",IF(O38="X","X"," "))</f>
        <v xml:space="preserve"> </v>
      </c>
      <c r="Q38" s="51" t="str">
        <f t="shared" si="20"/>
        <v xml:space="preserve"> </v>
      </c>
      <c r="R38" s="51" t="str">
        <f t="shared" si="20"/>
        <v xml:space="preserve"> </v>
      </c>
      <c r="S38" s="51" t="str">
        <f t="shared" si="16"/>
        <v xml:space="preserve"> </v>
      </c>
      <c r="T38" s="51" t="str">
        <f t="shared" si="16"/>
        <v xml:space="preserve"> </v>
      </c>
      <c r="U38" s="51" t="str">
        <f t="shared" si="16"/>
        <v xml:space="preserve"> </v>
      </c>
      <c r="V38" s="51" t="str">
        <f t="shared" si="16"/>
        <v xml:space="preserve"> </v>
      </c>
      <c r="W38" s="51" t="str">
        <f t="shared" si="16"/>
        <v xml:space="preserve"> </v>
      </c>
      <c r="X38" s="5"/>
      <c r="Y38" s="18"/>
      <c r="Z38" s="18"/>
      <c r="AA38" s="18"/>
      <c r="AB38" s="18"/>
      <c r="AC38" s="18"/>
      <c r="AD38" s="18"/>
      <c r="AE38" s="18"/>
      <c r="AF38" s="18"/>
      <c r="AG38" s="18"/>
      <c r="AH38" s="18"/>
    </row>
    <row r="39" spans="1:34" x14ac:dyDescent="0.2">
      <c r="A39" s="18"/>
      <c r="B39" s="4">
        <v>37</v>
      </c>
      <c r="C39" s="68" t="s">
        <v>79</v>
      </c>
      <c r="D39" s="68" t="s">
        <v>101</v>
      </c>
      <c r="E39" s="68" t="s">
        <v>102</v>
      </c>
      <c r="F39" s="89"/>
      <c r="G39" s="45">
        <v>41421</v>
      </c>
      <c r="H39" s="45">
        <v>41428</v>
      </c>
      <c r="I39" s="43">
        <v>33</v>
      </c>
      <c r="J39" s="43">
        <v>2</v>
      </c>
      <c r="K39" s="3">
        <v>5</v>
      </c>
      <c r="L39" s="55">
        <f t="array" ref="L39">IF(ISNA(INDEX($O$2:$DA$2,1,MATCH(1,IF($O37:$DM37,1),0))),"",INDEX($O$2:$DA$2,1,MATCH(1,IF($O37:$DM37,1),0)))</f>
        <v>41414</v>
      </c>
      <c r="M39" s="55" t="str">
        <f t="shared" si="13"/>
        <v/>
      </c>
      <c r="N39" s="56">
        <f t="shared" si="14"/>
        <v>0</v>
      </c>
      <c r="O39" s="51"/>
      <c r="P39" s="51" t="str">
        <f t="shared" ref="P39:R39" si="21">IF(ISNUMBER(O39)," ",IF(O39="X","X"," "))</f>
        <v xml:space="preserve"> </v>
      </c>
      <c r="Q39" s="51" t="str">
        <f t="shared" si="21"/>
        <v xml:space="preserve"> </v>
      </c>
      <c r="R39" s="51" t="str">
        <f t="shared" si="21"/>
        <v xml:space="preserve"> </v>
      </c>
      <c r="S39" s="51" t="str">
        <f t="shared" si="16"/>
        <v xml:space="preserve"> </v>
      </c>
      <c r="T39" s="51" t="str">
        <f t="shared" si="16"/>
        <v xml:space="preserve"> </v>
      </c>
      <c r="U39" s="51" t="str">
        <f t="shared" si="16"/>
        <v xml:space="preserve"> </v>
      </c>
      <c r="V39" s="51" t="str">
        <f t="shared" si="16"/>
        <v xml:space="preserve"> </v>
      </c>
      <c r="W39" s="51" t="str">
        <f t="shared" si="16"/>
        <v xml:space="preserve"> </v>
      </c>
      <c r="X39" s="5"/>
      <c r="Y39" s="18"/>
      <c r="Z39" s="18"/>
      <c r="AA39" s="18"/>
      <c r="AB39" s="18"/>
      <c r="AC39" s="18"/>
      <c r="AD39" s="18"/>
      <c r="AE39" s="18"/>
      <c r="AF39" s="18"/>
      <c r="AG39" s="18"/>
      <c r="AH39" s="18"/>
    </row>
    <row r="40" spans="1:34" x14ac:dyDescent="0.2">
      <c r="A40" s="18"/>
      <c r="B40" s="4">
        <v>38</v>
      </c>
      <c r="C40" s="68" t="s">
        <v>114</v>
      </c>
      <c r="D40" s="68" t="s">
        <v>115</v>
      </c>
      <c r="E40" s="68"/>
      <c r="F40" s="17"/>
      <c r="G40" s="45">
        <v>41372</v>
      </c>
      <c r="H40" s="45">
        <v>41379</v>
      </c>
      <c r="I40" s="46"/>
      <c r="J40" s="43">
        <v>1</v>
      </c>
      <c r="K40" s="3">
        <v>5</v>
      </c>
      <c r="L40" s="55" t="str">
        <f t="array" ref="L40">IF(ISNA(INDEX($O$2:$DA$2,1,MATCH(1,IF($O38:$DM38,1),0))),"",INDEX($O$2:$DA$2,1,MATCH(1,IF($O38:$DM38,1),0)))</f>
        <v/>
      </c>
      <c r="M40" s="55">
        <f t="shared" si="13"/>
        <v>41372</v>
      </c>
      <c r="N40" s="56">
        <f t="shared" si="14"/>
        <v>1.75</v>
      </c>
      <c r="O40" s="51">
        <f>1+0.75</f>
        <v>1.75</v>
      </c>
      <c r="P40" s="51" t="s">
        <v>113</v>
      </c>
      <c r="Q40" s="51" t="str">
        <f t="shared" ref="Q40:R40" si="22">IF(ISNUMBER(P40)," ",IF(P40="X","X"," "))</f>
        <v>X</v>
      </c>
      <c r="R40" s="51" t="str">
        <f t="shared" si="22"/>
        <v>X</v>
      </c>
      <c r="S40" s="51" t="str">
        <f t="shared" ref="S40:V50" si="23">IF(ISNUMBER(R40)," ",IF(R40="X","X"," "))</f>
        <v>X</v>
      </c>
      <c r="T40" s="51" t="str">
        <f t="shared" si="23"/>
        <v>X</v>
      </c>
      <c r="U40" s="51" t="str">
        <f t="shared" si="23"/>
        <v>X</v>
      </c>
      <c r="V40" s="51" t="str">
        <f t="shared" si="23"/>
        <v>X</v>
      </c>
      <c r="W40" s="51"/>
      <c r="X40" s="5"/>
      <c r="Y40" s="18"/>
      <c r="Z40" s="18"/>
      <c r="AA40" s="18"/>
      <c r="AB40" s="18"/>
      <c r="AC40" s="18"/>
      <c r="AD40" s="18"/>
      <c r="AE40" s="18"/>
      <c r="AF40" s="18"/>
      <c r="AG40" s="18"/>
      <c r="AH40" s="18"/>
    </row>
    <row r="41" spans="1:34" x14ac:dyDescent="0.2">
      <c r="A41" s="18"/>
      <c r="B41" s="4">
        <v>39</v>
      </c>
      <c r="C41" s="68" t="s">
        <v>114</v>
      </c>
      <c r="D41" s="68" t="s">
        <v>116</v>
      </c>
      <c r="E41" s="4"/>
      <c r="F41" s="17"/>
      <c r="G41" s="45">
        <v>41379</v>
      </c>
      <c r="H41" s="45">
        <v>41386</v>
      </c>
      <c r="I41" s="43">
        <v>38</v>
      </c>
      <c r="J41" s="43">
        <v>1</v>
      </c>
      <c r="K41" s="3">
        <v>5</v>
      </c>
      <c r="L41" s="55" t="str">
        <f t="array" ref="L41">IF(ISNA(INDEX($O$2:$DA$2,1,MATCH(1,IF($O39:$DM39,1),0))),"",INDEX($O$2:$DA$2,1,MATCH(1,IF($O39:$DM39,1),0)))</f>
        <v/>
      </c>
      <c r="M41" s="55">
        <f t="shared" si="13"/>
        <v>41379</v>
      </c>
      <c r="N41" s="56">
        <f t="shared" si="18"/>
        <v>1.75</v>
      </c>
      <c r="O41" s="51"/>
      <c r="P41" s="51">
        <f>0.25+0.5+0.75+0.25</f>
        <v>1.75</v>
      </c>
      <c r="Q41" s="51" t="s">
        <v>113</v>
      </c>
      <c r="R41" s="51" t="str">
        <f t="shared" ref="R41" si="24">IF(ISNUMBER(Q41)," ",IF(Q41="X","X"," "))</f>
        <v>X</v>
      </c>
      <c r="S41" s="51" t="str">
        <f t="shared" si="23"/>
        <v>X</v>
      </c>
      <c r="T41" s="51" t="str">
        <f t="shared" si="23"/>
        <v>X</v>
      </c>
      <c r="U41" s="51" t="str">
        <f t="shared" si="23"/>
        <v>X</v>
      </c>
      <c r="V41" s="51" t="str">
        <f t="shared" si="23"/>
        <v>X</v>
      </c>
      <c r="W41" s="51"/>
      <c r="X41" s="5"/>
      <c r="Y41" s="18"/>
      <c r="Z41" s="18"/>
      <c r="AA41" s="18"/>
      <c r="AB41" s="18"/>
      <c r="AC41" s="18"/>
      <c r="AD41" s="18"/>
      <c r="AE41" s="18"/>
      <c r="AF41" s="18"/>
      <c r="AG41" s="18"/>
      <c r="AH41" s="18"/>
    </row>
    <row r="42" spans="1:34" x14ac:dyDescent="0.2">
      <c r="A42" s="18"/>
      <c r="B42" s="4">
        <v>40</v>
      </c>
      <c r="C42" s="68" t="s">
        <v>114</v>
      </c>
      <c r="D42" s="68" t="s">
        <v>117</v>
      </c>
      <c r="E42" s="68"/>
      <c r="F42" s="17"/>
      <c r="G42" s="45">
        <v>41386</v>
      </c>
      <c r="H42" s="45">
        <v>41393</v>
      </c>
      <c r="I42" s="43">
        <v>39</v>
      </c>
      <c r="J42" s="43">
        <v>1</v>
      </c>
      <c r="K42" s="3">
        <v>5</v>
      </c>
      <c r="L42" s="55">
        <f t="array" ref="L42">IF(ISNA(INDEX($O$2:$DA$2,1,MATCH(1,IF($O40:$DM40,1),0))),"",INDEX($O$2:$DA$2,1,MATCH(1,IF($O40:$DM40,1),0)))</f>
        <v>41372</v>
      </c>
      <c r="M42" s="55">
        <f t="shared" si="13"/>
        <v>41386</v>
      </c>
      <c r="N42" s="56">
        <f t="shared" si="18"/>
        <v>2.5</v>
      </c>
      <c r="O42" s="51"/>
      <c r="P42" s="51" t="str">
        <f t="shared" ref="P42" si="25">IF(ISNUMBER(O42)," ",IF(O42="X","X"," "))</f>
        <v xml:space="preserve"> </v>
      </c>
      <c r="Q42" s="51">
        <f>1+0.5+0.5+0.25+0.25</f>
        <v>2.5</v>
      </c>
      <c r="R42" s="51" t="s">
        <v>113</v>
      </c>
      <c r="S42" s="51" t="str">
        <f t="shared" si="23"/>
        <v>X</v>
      </c>
      <c r="T42" s="51" t="str">
        <f t="shared" si="23"/>
        <v>X</v>
      </c>
      <c r="U42" s="51" t="str">
        <f t="shared" si="23"/>
        <v>X</v>
      </c>
      <c r="V42" s="51" t="str">
        <f t="shared" si="23"/>
        <v>X</v>
      </c>
      <c r="W42" s="51"/>
      <c r="X42" s="5"/>
      <c r="Y42" s="18"/>
      <c r="Z42" s="18"/>
      <c r="AA42" s="18"/>
      <c r="AB42" s="18"/>
      <c r="AC42" s="18"/>
      <c r="AD42" s="18"/>
      <c r="AE42" s="18"/>
      <c r="AF42" s="18"/>
      <c r="AG42" s="18"/>
      <c r="AH42" s="18"/>
    </row>
    <row r="43" spans="1:34" s="33" customFormat="1" ht="12.75" customHeight="1" x14ac:dyDescent="0.2">
      <c r="A43" s="29"/>
      <c r="B43" s="4">
        <v>41</v>
      </c>
      <c r="C43" s="68" t="s">
        <v>114</v>
      </c>
      <c r="D43" s="68" t="s">
        <v>118</v>
      </c>
      <c r="E43" s="4"/>
      <c r="F43" s="17"/>
      <c r="G43" s="45">
        <v>41393</v>
      </c>
      <c r="H43" s="45">
        <v>41400</v>
      </c>
      <c r="I43" s="43">
        <v>40</v>
      </c>
      <c r="J43" s="43">
        <v>1</v>
      </c>
      <c r="K43" s="3">
        <v>5</v>
      </c>
      <c r="L43" s="55">
        <f t="array" ref="L43">IF(ISNA(INDEX($O$2:$DA$2,1,MATCH(1,IF($O41:$DM41,1),0))),"",INDEX($O$2:$DA$2,1,MATCH(1,IF($O41:$DM41,1),0)))</f>
        <v>41379</v>
      </c>
      <c r="M43" s="55">
        <f t="shared" si="13"/>
        <v>41393</v>
      </c>
      <c r="N43" s="56">
        <f t="shared" si="14"/>
        <v>3.5</v>
      </c>
      <c r="O43" s="51"/>
      <c r="P43" s="51" t="str">
        <f t="shared" ref="P43:Q50" si="26">IF(ISNUMBER(O43)," ",IF(O43="X","X"," "))</f>
        <v xml:space="preserve"> </v>
      </c>
      <c r="Q43" s="51" t="str">
        <f t="shared" si="26"/>
        <v xml:space="preserve"> </v>
      </c>
      <c r="R43" s="51">
        <f>0.25+0.25+0.25+1.5+0.5+0.25+0.5</f>
        <v>3.5</v>
      </c>
      <c r="S43" s="51" t="s">
        <v>112</v>
      </c>
      <c r="T43" s="51" t="str">
        <f t="shared" si="23"/>
        <v>X</v>
      </c>
      <c r="U43" s="51" t="str">
        <f t="shared" si="23"/>
        <v>X</v>
      </c>
      <c r="V43" s="51" t="str">
        <f t="shared" si="23"/>
        <v>X</v>
      </c>
      <c r="W43" s="51" t="str">
        <f t="shared" ref="W43:W50" si="27">IF(ISNUMBER(V43)," ",IF(V43="X","X"," "))</f>
        <v>X</v>
      </c>
      <c r="X43" s="5"/>
      <c r="Y43" s="29"/>
      <c r="Z43" s="29"/>
      <c r="AA43" s="29"/>
      <c r="AB43" s="29"/>
      <c r="AC43" s="29"/>
      <c r="AD43" s="29"/>
      <c r="AE43" s="29"/>
      <c r="AF43" s="29"/>
      <c r="AG43" s="29"/>
      <c r="AH43" s="29"/>
    </row>
    <row r="44" spans="1:34" s="33" customFormat="1" ht="12.75" customHeight="1" x14ac:dyDescent="0.2">
      <c r="A44" s="29"/>
      <c r="B44" s="4">
        <v>42</v>
      </c>
      <c r="C44" s="68" t="s">
        <v>114</v>
      </c>
      <c r="D44" s="68" t="s">
        <v>119</v>
      </c>
      <c r="E44" s="68"/>
      <c r="F44" s="17"/>
      <c r="G44" s="45">
        <v>41400</v>
      </c>
      <c r="H44" s="45">
        <v>41407</v>
      </c>
      <c r="I44" s="43">
        <v>41</v>
      </c>
      <c r="J44" s="43">
        <v>1</v>
      </c>
      <c r="K44" s="3">
        <v>0</v>
      </c>
      <c r="L44" s="55">
        <f t="array" ref="L44">IF(ISNA(INDEX($O$2:$DA$2,1,MATCH(1,IF($O42:$DM42,1),0))),"",INDEX($O$2:$DA$2,1,MATCH(1,IF($O42:$DM42,1),0)))</f>
        <v>41386</v>
      </c>
      <c r="M44" s="55" t="str">
        <f t="shared" si="13"/>
        <v/>
      </c>
      <c r="N44" s="56">
        <f t="shared" si="14"/>
        <v>0</v>
      </c>
      <c r="O44" s="51"/>
      <c r="P44" s="51" t="str">
        <f t="shared" si="26"/>
        <v xml:space="preserve"> </v>
      </c>
      <c r="Q44" s="51" t="str">
        <f t="shared" si="26"/>
        <v xml:space="preserve"> </v>
      </c>
      <c r="R44" s="51" t="str">
        <f t="shared" ref="R44:R50" si="28">IF(ISNUMBER(Q44)," ",IF(Q44="X","X"," "))</f>
        <v xml:space="preserve"> </v>
      </c>
      <c r="S44" s="51" t="str">
        <f t="shared" si="23"/>
        <v xml:space="preserve"> </v>
      </c>
      <c r="T44" s="51" t="str">
        <f t="shared" si="23"/>
        <v xml:space="preserve"> </v>
      </c>
      <c r="U44" s="51" t="str">
        <f t="shared" si="23"/>
        <v xml:space="preserve"> </v>
      </c>
      <c r="V44" s="51" t="str">
        <f t="shared" si="23"/>
        <v xml:space="preserve"> </v>
      </c>
      <c r="W44" s="51" t="str">
        <f t="shared" si="27"/>
        <v xml:space="preserve"> </v>
      </c>
      <c r="X44" s="5"/>
      <c r="Y44" s="29"/>
      <c r="Z44" s="29"/>
      <c r="AA44" s="29"/>
      <c r="AB44" s="29"/>
      <c r="AC44" s="29"/>
      <c r="AD44" s="29"/>
      <c r="AE44" s="29"/>
      <c r="AF44" s="29"/>
      <c r="AG44" s="29"/>
      <c r="AH44" s="29"/>
    </row>
    <row r="45" spans="1:34" ht="12.75" customHeight="1" x14ac:dyDescent="0.2">
      <c r="A45" s="18"/>
      <c r="B45" s="4">
        <v>43</v>
      </c>
      <c r="C45" s="68" t="s">
        <v>114</v>
      </c>
      <c r="D45" s="68" t="s">
        <v>120</v>
      </c>
      <c r="E45" s="4"/>
      <c r="F45" s="17"/>
      <c r="G45" s="45">
        <v>41407</v>
      </c>
      <c r="H45" s="45">
        <v>41414</v>
      </c>
      <c r="I45" s="43">
        <v>42</v>
      </c>
      <c r="J45" s="43">
        <v>1</v>
      </c>
      <c r="K45" s="3">
        <v>3.5</v>
      </c>
      <c r="L45" s="55">
        <f t="array" ref="L45">IF(ISNA(INDEX($O$2:$DA$2,1,MATCH(1,IF($O43:$DM43,1),0))),"",INDEX($O$2:$DA$2,1,MATCH(1,IF($O43:$DM43,1),0)))</f>
        <v>41393</v>
      </c>
      <c r="M45" s="55">
        <f t="shared" si="13"/>
        <v>41407</v>
      </c>
      <c r="N45" s="56">
        <f t="shared" si="18"/>
        <v>2.5</v>
      </c>
      <c r="O45" s="51"/>
      <c r="P45" s="51" t="str">
        <f t="shared" si="26"/>
        <v xml:space="preserve"> </v>
      </c>
      <c r="Q45" s="51" t="str">
        <f t="shared" si="26"/>
        <v xml:space="preserve"> </v>
      </c>
      <c r="R45" s="51" t="str">
        <f t="shared" si="28"/>
        <v xml:space="preserve"> </v>
      </c>
      <c r="S45" s="51">
        <f>0.5+0.5+0.25+0.25+0.5+0.25+0.25</f>
        <v>2.5</v>
      </c>
      <c r="T45" s="51" t="s">
        <v>112</v>
      </c>
      <c r="U45" s="51" t="str">
        <f t="shared" si="23"/>
        <v>X</v>
      </c>
      <c r="V45" s="51" t="str">
        <f t="shared" si="23"/>
        <v>X</v>
      </c>
      <c r="W45" s="51" t="str">
        <f t="shared" si="27"/>
        <v>X</v>
      </c>
      <c r="X45" s="5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2.75" customHeight="1" x14ac:dyDescent="0.2">
      <c r="A46" s="18"/>
      <c r="B46" s="4">
        <v>44</v>
      </c>
      <c r="C46" s="68" t="s">
        <v>114</v>
      </c>
      <c r="D46" s="68" t="s">
        <v>121</v>
      </c>
      <c r="E46" s="68"/>
      <c r="F46" s="17"/>
      <c r="G46" s="45">
        <v>41414</v>
      </c>
      <c r="H46" s="45">
        <v>41421</v>
      </c>
      <c r="I46" s="43">
        <v>43</v>
      </c>
      <c r="J46" s="43">
        <v>1</v>
      </c>
      <c r="K46" s="3">
        <v>3.5</v>
      </c>
      <c r="L46" s="55" t="str">
        <f t="array" ref="L46">IF(ISNA(INDEX($O$2:$DA$2,1,MATCH(1,IF($O44:$DM44,1),0))),"",INDEX($O$2:$DA$2,1,MATCH(1,IF($O44:$DM44,1),0)))</f>
        <v/>
      </c>
      <c r="M46" s="55" t="str">
        <f t="shared" si="13"/>
        <v/>
      </c>
      <c r="N46" s="56">
        <f t="shared" si="18"/>
        <v>1.25</v>
      </c>
      <c r="O46" s="51"/>
      <c r="P46" s="51" t="str">
        <f t="shared" si="26"/>
        <v xml:space="preserve"> </v>
      </c>
      <c r="Q46" s="51" t="str">
        <f t="shared" si="26"/>
        <v xml:space="preserve"> </v>
      </c>
      <c r="R46" s="51" t="str">
        <f t="shared" si="28"/>
        <v xml:space="preserve"> </v>
      </c>
      <c r="S46" s="51" t="str">
        <f t="shared" si="23"/>
        <v xml:space="preserve"> </v>
      </c>
      <c r="T46" s="51">
        <f>0.25+1</f>
        <v>1.25</v>
      </c>
      <c r="U46" s="51" t="str">
        <f t="shared" si="23"/>
        <v xml:space="preserve"> </v>
      </c>
      <c r="V46" s="51" t="str">
        <f t="shared" si="23"/>
        <v xml:space="preserve"> </v>
      </c>
      <c r="W46" s="51" t="str">
        <f t="shared" si="27"/>
        <v xml:space="preserve"> </v>
      </c>
      <c r="X46" s="5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ht="12.75" customHeight="1" x14ac:dyDescent="0.2">
      <c r="A47" s="18"/>
      <c r="B47" s="4">
        <v>45</v>
      </c>
      <c r="C47" s="68" t="s">
        <v>114</v>
      </c>
      <c r="D47" s="68" t="s">
        <v>122</v>
      </c>
      <c r="E47" s="4"/>
      <c r="F47" s="17"/>
      <c r="G47" s="45">
        <v>41421</v>
      </c>
      <c r="H47" s="45">
        <v>41428</v>
      </c>
      <c r="I47" s="43">
        <v>44</v>
      </c>
      <c r="J47" s="43">
        <v>1</v>
      </c>
      <c r="K47" s="3">
        <v>3.5</v>
      </c>
      <c r="L47" s="55">
        <f t="array" ref="L47">IF(ISNA(INDEX($O$2:$DA$2,1,MATCH(1,IF($O45:$DM45,1),0))),"",INDEX($O$2:$DA$2,1,MATCH(1,IF($O45:$DM45,1),0)))</f>
        <v>41407</v>
      </c>
      <c r="M47" s="55" t="str">
        <f t="shared" si="13"/>
        <v/>
      </c>
      <c r="N47" s="56">
        <f t="shared" si="14"/>
        <v>0</v>
      </c>
      <c r="O47" s="51"/>
      <c r="P47" s="51" t="str">
        <f t="shared" si="26"/>
        <v xml:space="preserve"> </v>
      </c>
      <c r="Q47" s="51" t="str">
        <f t="shared" si="26"/>
        <v xml:space="preserve"> </v>
      </c>
      <c r="R47" s="51" t="str">
        <f t="shared" si="28"/>
        <v xml:space="preserve"> </v>
      </c>
      <c r="S47" s="51"/>
      <c r="T47" s="51" t="str">
        <f t="shared" si="23"/>
        <v xml:space="preserve"> </v>
      </c>
      <c r="U47" s="51" t="str">
        <f t="shared" si="23"/>
        <v xml:space="preserve"> </v>
      </c>
      <c r="V47" s="51" t="str">
        <f t="shared" si="23"/>
        <v xml:space="preserve"> </v>
      </c>
      <c r="W47" s="51" t="str">
        <f t="shared" si="27"/>
        <v xml:space="preserve"> </v>
      </c>
      <c r="X47" s="5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2.75" customHeight="1" x14ac:dyDescent="0.2">
      <c r="A48" s="18"/>
      <c r="B48" s="4">
        <v>46</v>
      </c>
      <c r="C48" s="68" t="s">
        <v>127</v>
      </c>
      <c r="D48" s="68" t="s">
        <v>128</v>
      </c>
      <c r="E48" s="68"/>
      <c r="F48" s="17" t="s">
        <v>131</v>
      </c>
      <c r="G48" s="45">
        <v>41407</v>
      </c>
      <c r="H48" s="45">
        <v>41414</v>
      </c>
      <c r="I48" s="43"/>
      <c r="J48" s="43"/>
      <c r="K48" s="3">
        <v>1</v>
      </c>
      <c r="L48" s="55">
        <f t="array" ref="L48">IF(ISNA(INDEX($O$2:$DA$2,1,MATCH(1,IF($O48:$DM48,1),0))),"",INDEX($O$2:$DA$2,1,MATCH(1,IF($O48:$DM48,1),0)))</f>
        <v>41407</v>
      </c>
      <c r="M48" s="55">
        <f t="shared" ref="M48:M52" si="29">IF(ISNA(MATCH("X",O48:W48,0)),"",INDEX($O$2:$X$2,1,MATCH("X",O48:W48,0)-1))</f>
        <v>41407</v>
      </c>
      <c r="N48" s="56">
        <f t="shared" si="14"/>
        <v>1</v>
      </c>
      <c r="O48" s="51"/>
      <c r="P48" s="51" t="str">
        <f t="shared" si="26"/>
        <v xml:space="preserve"> </v>
      </c>
      <c r="Q48" s="51" t="str">
        <f t="shared" si="26"/>
        <v xml:space="preserve"> </v>
      </c>
      <c r="R48" s="51" t="str">
        <f t="shared" si="28"/>
        <v xml:space="preserve"> </v>
      </c>
      <c r="S48" s="51">
        <f>0.75+0.25</f>
        <v>1</v>
      </c>
      <c r="T48" s="51" t="s">
        <v>112</v>
      </c>
      <c r="U48" s="51" t="str">
        <f t="shared" si="23"/>
        <v>X</v>
      </c>
      <c r="V48" s="51" t="str">
        <f t="shared" si="23"/>
        <v>X</v>
      </c>
      <c r="W48" s="51" t="str">
        <f t="shared" si="27"/>
        <v>X</v>
      </c>
      <c r="X48" s="5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 ht="12.75" customHeight="1" x14ac:dyDescent="0.2">
      <c r="A49" s="18"/>
      <c r="B49" s="4">
        <v>47</v>
      </c>
      <c r="C49" s="68" t="s">
        <v>127</v>
      </c>
      <c r="D49" s="4" t="s">
        <v>129</v>
      </c>
      <c r="E49" s="4"/>
      <c r="F49" s="17"/>
      <c r="G49" s="45">
        <v>41414</v>
      </c>
      <c r="H49" s="45">
        <v>41421</v>
      </c>
      <c r="I49" s="43">
        <v>46</v>
      </c>
      <c r="J49" s="43"/>
      <c r="K49" s="3">
        <v>1</v>
      </c>
      <c r="L49" s="55">
        <f t="array" ref="L49">IF(ISNA(INDEX($O$2:$DA$2,1,MATCH(1,IF($O49:$DM49,1),0))),"",INDEX($O$2:$DA$2,1,MATCH(1,IF($O49:$DM49,1),0)))</f>
        <v>41414</v>
      </c>
      <c r="M49" s="55" t="str">
        <f t="shared" si="29"/>
        <v/>
      </c>
      <c r="N49" s="56">
        <f t="shared" si="18"/>
        <v>0.25</v>
      </c>
      <c r="O49" s="51"/>
      <c r="P49" s="51" t="str">
        <f t="shared" si="26"/>
        <v xml:space="preserve"> </v>
      </c>
      <c r="Q49" s="51" t="str">
        <f t="shared" si="26"/>
        <v xml:space="preserve"> </v>
      </c>
      <c r="R49" s="51" t="str">
        <f t="shared" si="28"/>
        <v xml:space="preserve"> </v>
      </c>
      <c r="S49" s="51"/>
      <c r="T49" s="51">
        <f>0.25</f>
        <v>0.25</v>
      </c>
      <c r="U49" s="51" t="str">
        <f t="shared" si="23"/>
        <v xml:space="preserve"> </v>
      </c>
      <c r="V49" s="51" t="str">
        <f t="shared" si="23"/>
        <v xml:space="preserve"> </v>
      </c>
      <c r="W49" s="51" t="str">
        <f t="shared" si="27"/>
        <v xml:space="preserve"> </v>
      </c>
      <c r="X49" s="5"/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 ht="12.75" customHeight="1" x14ac:dyDescent="0.2">
      <c r="A50" s="18"/>
      <c r="B50" s="4">
        <v>48</v>
      </c>
      <c r="C50" s="68" t="s">
        <v>127</v>
      </c>
      <c r="D50" s="68" t="s">
        <v>130</v>
      </c>
      <c r="E50" s="68"/>
      <c r="F50" s="17"/>
      <c r="G50" s="45">
        <v>41421</v>
      </c>
      <c r="H50" s="45">
        <v>41428</v>
      </c>
      <c r="I50" s="43">
        <v>47</v>
      </c>
      <c r="J50" s="43"/>
      <c r="K50" s="3">
        <v>1</v>
      </c>
      <c r="L50" s="55" t="str">
        <f t="array" ref="L50">IF(ISNA(INDEX($O$2:$DA$2,1,MATCH(1,IF($O50:$DM50,1),0))),"",INDEX($O$2:$DA$2,1,MATCH(1,IF($O50:$DM50,1),0)))</f>
        <v/>
      </c>
      <c r="M50" s="55" t="str">
        <f t="shared" si="29"/>
        <v/>
      </c>
      <c r="N50" s="56">
        <f t="shared" si="18"/>
        <v>0</v>
      </c>
      <c r="O50" s="51"/>
      <c r="P50" s="51" t="str">
        <f t="shared" si="26"/>
        <v xml:space="preserve"> </v>
      </c>
      <c r="Q50" s="51" t="str">
        <f t="shared" si="26"/>
        <v xml:space="preserve"> </v>
      </c>
      <c r="R50" s="51" t="str">
        <f t="shared" si="28"/>
        <v xml:space="preserve"> </v>
      </c>
      <c r="S50" s="51" t="str">
        <f t="shared" si="23"/>
        <v xml:space="preserve"> </v>
      </c>
      <c r="T50" s="51" t="str">
        <f t="shared" si="23"/>
        <v xml:space="preserve"> </v>
      </c>
      <c r="U50" s="51" t="str">
        <f t="shared" si="23"/>
        <v xml:space="preserve"> </v>
      </c>
      <c r="V50" s="51" t="str">
        <f t="shared" si="23"/>
        <v xml:space="preserve"> </v>
      </c>
      <c r="W50" s="51" t="str">
        <f t="shared" si="27"/>
        <v xml:space="preserve"> </v>
      </c>
      <c r="X50" s="5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 ht="12.75" customHeight="1" x14ac:dyDescent="0.2">
      <c r="A51" s="18"/>
      <c r="B51" s="4"/>
      <c r="C51" s="68"/>
      <c r="D51" s="4"/>
      <c r="E51" s="4"/>
      <c r="F51" s="17"/>
      <c r="G51" s="45"/>
      <c r="H51" s="45"/>
      <c r="I51" s="43"/>
      <c r="J51" s="43"/>
      <c r="K51" s="3"/>
      <c r="L51" s="55" t="str">
        <f t="array" ref="L51">IF(ISNA(INDEX($O$2:$DA$2,1,MATCH(1,IF($O51:$DM51,1),0))),"",INDEX($O$2:$DA$2,1,MATCH(1,IF($O51:$DM51,1),0)))</f>
        <v/>
      </c>
      <c r="M51" s="55" t="str">
        <f t="shared" si="29"/>
        <v/>
      </c>
      <c r="N51" s="56">
        <f t="shared" si="14"/>
        <v>0</v>
      </c>
      <c r="O51" s="51"/>
      <c r="P51" s="51" t="str">
        <f t="shared" ref="P51:P52" si="30">IF(ISNUMBER(O51)," ",IF(O51="X","X"," "))</f>
        <v xml:space="preserve"> </v>
      </c>
      <c r="Q51" s="51" t="str">
        <f t="shared" ref="Q51:Q52" si="31">IF(ISNUMBER(P51)," ",IF(P51="X","X"," "))</f>
        <v xml:space="preserve"> </v>
      </c>
      <c r="R51" s="51" t="str">
        <f t="shared" ref="R51:R52" si="32">IF(ISNUMBER(Q51)," ",IF(Q51="X","X"," "))</f>
        <v xml:space="preserve"> </v>
      </c>
      <c r="S51" s="51" t="str">
        <f t="shared" ref="S51:S52" si="33">IF(ISNUMBER(R51)," ",IF(R51="X","X"," "))</f>
        <v xml:space="preserve"> </v>
      </c>
      <c r="T51" s="51" t="str">
        <f t="shared" ref="T51:T52" si="34">IF(ISNUMBER(S51)," ",IF(S51="X","X"," "))</f>
        <v xml:space="preserve"> </v>
      </c>
      <c r="U51" s="51" t="str">
        <f t="shared" ref="U51:U52" si="35">IF(ISNUMBER(T51)," ",IF(T51="X","X"," "))</f>
        <v xml:space="preserve"> </v>
      </c>
      <c r="V51" s="51" t="str">
        <f t="shared" ref="V51:V52" si="36">IF(ISNUMBER(U51)," ",IF(U51="X","X"," "))</f>
        <v xml:space="preserve"> </v>
      </c>
      <c r="W51" s="51" t="str">
        <f t="shared" ref="W51:W52" si="37">IF(ISNUMBER(V51)," ",IF(V51="X","X"," "))</f>
        <v xml:space="preserve"> </v>
      </c>
      <c r="X51" s="5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ht="12.75" customHeight="1" x14ac:dyDescent="0.2">
      <c r="A52" s="18"/>
      <c r="B52" s="4"/>
      <c r="C52" s="68"/>
      <c r="D52" s="68"/>
      <c r="E52" s="68"/>
      <c r="F52" s="17"/>
      <c r="G52" s="45"/>
      <c r="H52" s="45"/>
      <c r="I52" s="43"/>
      <c r="J52" s="43"/>
      <c r="K52" s="3"/>
      <c r="L52" s="55" t="str">
        <f t="array" ref="L52">IF(ISNA(INDEX($O$2:$DA$2,1,MATCH(1,IF($O52:$DM52,1),0))),"",INDEX($O$2:$DA$2,1,MATCH(1,IF($O52:$DM52,1),0)))</f>
        <v/>
      </c>
      <c r="M52" s="55" t="str">
        <f t="shared" si="29"/>
        <v/>
      </c>
      <c r="N52" s="56">
        <f t="shared" si="14"/>
        <v>0</v>
      </c>
      <c r="O52" s="51"/>
      <c r="P52" s="51" t="str">
        <f t="shared" si="30"/>
        <v xml:space="preserve"> </v>
      </c>
      <c r="Q52" s="51" t="str">
        <f t="shared" si="31"/>
        <v xml:space="preserve"> </v>
      </c>
      <c r="R52" s="51" t="str">
        <f t="shared" si="32"/>
        <v xml:space="preserve"> </v>
      </c>
      <c r="S52" s="51" t="str">
        <f t="shared" si="33"/>
        <v xml:space="preserve"> </v>
      </c>
      <c r="T52" s="51" t="str">
        <f t="shared" si="34"/>
        <v xml:space="preserve"> </v>
      </c>
      <c r="U52" s="51" t="str">
        <f t="shared" si="35"/>
        <v xml:space="preserve"> </v>
      </c>
      <c r="V52" s="51" t="str">
        <f t="shared" si="36"/>
        <v xml:space="preserve"> </v>
      </c>
      <c r="W52" s="51" t="str">
        <f t="shared" si="37"/>
        <v xml:space="preserve"> </v>
      </c>
      <c r="X52" s="5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 ht="12.75" customHeight="1" x14ac:dyDescent="0.2">
      <c r="A53" s="18"/>
      <c r="B53" s="4"/>
      <c r="C53" s="68"/>
      <c r="D53" s="4"/>
      <c r="E53" s="4"/>
      <c r="F53" s="17"/>
      <c r="G53" s="45"/>
      <c r="H53" s="45"/>
      <c r="I53" s="43"/>
      <c r="J53" s="43"/>
      <c r="K53" s="3"/>
      <c r="L53" s="55" t="str">
        <f t="array" ref="L53">IF(ISNA(INDEX($O$2:$DA$2,1,MATCH(1,IF($O53:$DM53,1),0))),"",INDEX($O$2:$DA$2,1,MATCH(1,IF($O53:$DM53,1),0)))</f>
        <v/>
      </c>
      <c r="M53" s="55" t="str">
        <f t="shared" ref="M53:M55" si="38">IF(ISNA(MATCH("X",O53:W53,0)),"",INDEX($O$2:$X$2,1,MATCH("X",O53:W53,0)-1))</f>
        <v/>
      </c>
      <c r="N53" s="56">
        <f t="shared" si="18"/>
        <v>0</v>
      </c>
      <c r="O53" s="51"/>
      <c r="P53" s="51" t="str">
        <f t="shared" ref="P53:P55" si="39">IF(ISNUMBER(O53)," ",IF(O53="X","X"," "))</f>
        <v xml:space="preserve"> </v>
      </c>
      <c r="Q53" s="51" t="str">
        <f t="shared" ref="Q53:Q55" si="40">IF(ISNUMBER(P53)," ",IF(P53="X","X"," "))</f>
        <v xml:space="preserve"> </v>
      </c>
      <c r="R53" s="51" t="str">
        <f t="shared" ref="R53:R55" si="41">IF(ISNUMBER(Q53)," ",IF(Q53="X","X"," "))</f>
        <v xml:space="preserve"> </v>
      </c>
      <c r="S53" s="51" t="str">
        <f t="shared" ref="S53:S55" si="42">IF(ISNUMBER(R53)," ",IF(R53="X","X"," "))</f>
        <v xml:space="preserve"> </v>
      </c>
      <c r="T53" s="51" t="str">
        <f t="shared" ref="T53:T55" si="43">IF(ISNUMBER(S53)," ",IF(S53="X","X"," "))</f>
        <v xml:space="preserve"> </v>
      </c>
      <c r="U53" s="51" t="str">
        <f t="shared" ref="U53:U55" si="44">IF(ISNUMBER(T53)," ",IF(T53="X","X"," "))</f>
        <v xml:space="preserve"> </v>
      </c>
      <c r="V53" s="51" t="str">
        <f t="shared" ref="V53:V55" si="45">IF(ISNUMBER(U53)," ",IF(U53="X","X"," "))</f>
        <v xml:space="preserve"> </v>
      </c>
      <c r="W53" s="51" t="str">
        <f t="shared" ref="W53:W55" si="46">IF(ISNUMBER(V53)," ",IF(V53="X","X"," "))</f>
        <v xml:space="preserve"> </v>
      </c>
      <c r="X53" s="5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ht="12.75" customHeight="1" x14ac:dyDescent="0.2">
      <c r="A54" s="18"/>
      <c r="B54" s="4"/>
      <c r="C54" s="68"/>
      <c r="D54" s="68"/>
      <c r="E54" s="68"/>
      <c r="F54" s="17"/>
      <c r="G54" s="45"/>
      <c r="H54" s="45"/>
      <c r="I54" s="43"/>
      <c r="J54" s="43"/>
      <c r="K54" s="3"/>
      <c r="L54" s="55" t="str">
        <f t="array" ref="L54">IF(ISNA(INDEX($O$2:$DA$2,1,MATCH(1,IF($O54:$DM54,1),0))),"",INDEX($O$2:$DA$2,1,MATCH(1,IF($O54:$DM54,1),0)))</f>
        <v/>
      </c>
      <c r="M54" s="55" t="str">
        <f t="shared" si="38"/>
        <v/>
      </c>
      <c r="N54" s="56">
        <f t="shared" si="18"/>
        <v>0</v>
      </c>
      <c r="O54" s="51"/>
      <c r="P54" s="51" t="str">
        <f t="shared" si="39"/>
        <v xml:space="preserve"> </v>
      </c>
      <c r="Q54" s="51" t="str">
        <f t="shared" si="40"/>
        <v xml:space="preserve"> </v>
      </c>
      <c r="R54" s="51" t="str">
        <f t="shared" si="41"/>
        <v xml:space="preserve"> </v>
      </c>
      <c r="S54" s="51" t="str">
        <f t="shared" si="42"/>
        <v xml:space="preserve"> </v>
      </c>
      <c r="T54" s="51" t="str">
        <f t="shared" si="43"/>
        <v xml:space="preserve"> </v>
      </c>
      <c r="U54" s="51" t="str">
        <f t="shared" si="44"/>
        <v xml:space="preserve"> </v>
      </c>
      <c r="V54" s="51" t="str">
        <f t="shared" si="45"/>
        <v xml:space="preserve"> </v>
      </c>
      <c r="W54" s="51" t="str">
        <f t="shared" si="46"/>
        <v xml:space="preserve"> </v>
      </c>
      <c r="X54" s="5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ht="12.75" customHeight="1" x14ac:dyDescent="0.2">
      <c r="A55" s="18"/>
      <c r="B55" s="4"/>
      <c r="C55" s="68"/>
      <c r="D55" s="4"/>
      <c r="E55" s="4"/>
      <c r="F55" s="17"/>
      <c r="G55" s="45"/>
      <c r="H55" s="45"/>
      <c r="I55" s="43"/>
      <c r="J55" s="43"/>
      <c r="K55" s="3"/>
      <c r="L55" s="55" t="str">
        <f t="array" ref="L55">IF(ISNA(INDEX($O$2:$DA$2,1,MATCH(1,IF($O55:$DM55,1),0))),"",INDEX($O$2:$DA$2,1,MATCH(1,IF($O55:$DM55,1),0)))</f>
        <v/>
      </c>
      <c r="M55" s="55" t="str">
        <f t="shared" si="38"/>
        <v/>
      </c>
      <c r="N55" s="56">
        <f t="shared" si="14"/>
        <v>0</v>
      </c>
      <c r="O55" s="51"/>
      <c r="P55" s="51" t="str">
        <f t="shared" si="39"/>
        <v xml:space="preserve"> </v>
      </c>
      <c r="Q55" s="51" t="str">
        <f t="shared" si="40"/>
        <v xml:space="preserve"> </v>
      </c>
      <c r="R55" s="51" t="str">
        <f t="shared" si="41"/>
        <v xml:space="preserve"> </v>
      </c>
      <c r="S55" s="51" t="str">
        <f t="shared" si="42"/>
        <v xml:space="preserve"> </v>
      </c>
      <c r="T55" s="51" t="str">
        <f t="shared" si="43"/>
        <v xml:space="preserve"> </v>
      </c>
      <c r="U55" s="51" t="str">
        <f t="shared" si="44"/>
        <v xml:space="preserve"> </v>
      </c>
      <c r="V55" s="51" t="str">
        <f t="shared" si="45"/>
        <v xml:space="preserve"> </v>
      </c>
      <c r="W55" s="51" t="str">
        <f t="shared" si="46"/>
        <v xml:space="preserve"> </v>
      </c>
      <c r="X55" s="5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ht="12.75" customHeight="1" x14ac:dyDescent="0.2">
      <c r="A56" s="18"/>
      <c r="B56" s="4"/>
      <c r="C56" s="68"/>
      <c r="D56" s="68"/>
      <c r="E56" s="68"/>
      <c r="F56" s="17"/>
      <c r="G56" s="45"/>
      <c r="H56" s="45"/>
      <c r="I56" s="43"/>
      <c r="J56" s="43"/>
      <c r="K56" s="3"/>
      <c r="L56" s="55" t="str">
        <f t="array" ref="L56">IF(ISNA(INDEX($O$2:$DA$2,1,MATCH(1,IF($O56:$DM56,1),0))),"",INDEX($O$2:$DA$2,1,MATCH(1,IF($O56:$DM56,1),0)))</f>
        <v/>
      </c>
      <c r="M56" s="55" t="str">
        <f t="shared" si="1"/>
        <v/>
      </c>
      <c r="N56" s="56">
        <f t="shared" si="14"/>
        <v>0</v>
      </c>
      <c r="O56" s="51"/>
      <c r="P56" s="51" t="str">
        <f t="shared" ref="P56:P59" si="47">IF(ISNUMBER(O56)," ",IF(O56="X","X"," "))</f>
        <v xml:space="preserve"> </v>
      </c>
      <c r="Q56" s="51" t="str">
        <f t="shared" ref="Q56:Q59" si="48">IF(ISNUMBER(P56)," ",IF(P56="X","X"," "))</f>
        <v xml:space="preserve"> </v>
      </c>
      <c r="R56" s="51" t="str">
        <f t="shared" ref="R56:R59" si="49">IF(ISNUMBER(Q56)," ",IF(Q56="X","X"," "))</f>
        <v xml:space="preserve"> </v>
      </c>
      <c r="S56" s="51" t="str">
        <f t="shared" ref="S56:S59" si="50">IF(ISNUMBER(R56)," ",IF(R56="X","X"," "))</f>
        <v xml:space="preserve"> </v>
      </c>
      <c r="T56" s="51" t="str">
        <f t="shared" ref="T56:T59" si="51">IF(ISNUMBER(S56)," ",IF(S56="X","X"," "))</f>
        <v xml:space="preserve"> </v>
      </c>
      <c r="U56" s="51" t="str">
        <f t="shared" ref="U56:U59" si="52">IF(ISNUMBER(T56)," ",IF(T56="X","X"," "))</f>
        <v xml:space="preserve"> </v>
      </c>
      <c r="V56" s="51" t="str">
        <f t="shared" ref="V56:V59" si="53">IF(ISNUMBER(U56)," ",IF(U56="X","X"," "))</f>
        <v xml:space="preserve"> </v>
      </c>
      <c r="W56" s="51" t="str">
        <f t="shared" ref="W56:W59" si="54">IF(ISNUMBER(V56)," ",IF(V56="X","X"," "))</f>
        <v xml:space="preserve"> </v>
      </c>
      <c r="X56" s="5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 s="22" customFormat="1" x14ac:dyDescent="0.2">
      <c r="A57" s="18"/>
      <c r="B57" s="4"/>
      <c r="C57" s="68"/>
      <c r="D57" s="4"/>
      <c r="E57" s="4"/>
      <c r="F57" s="17"/>
      <c r="G57" s="45"/>
      <c r="H57" s="45"/>
      <c r="I57" s="43"/>
      <c r="J57" s="43"/>
      <c r="K57" s="3"/>
      <c r="L57" s="55" t="str">
        <f t="array" ref="L57">IF(ISNA(INDEX($O$2:$DA$2,1,MATCH(1,IF($O57:$DM57,1),0))),"",INDEX($O$2:$DA$2,1,MATCH(1,IF($O57:$DM57,1),0)))</f>
        <v/>
      </c>
      <c r="M57" s="55" t="str">
        <f t="shared" si="1"/>
        <v/>
      </c>
      <c r="N57" s="56">
        <f t="shared" si="18"/>
        <v>0</v>
      </c>
      <c r="O57" s="51"/>
      <c r="P57" s="51" t="str">
        <f t="shared" si="47"/>
        <v xml:space="preserve"> </v>
      </c>
      <c r="Q57" s="51" t="str">
        <f t="shared" si="48"/>
        <v xml:space="preserve"> </v>
      </c>
      <c r="R57" s="51" t="str">
        <f t="shared" si="49"/>
        <v xml:space="preserve"> </v>
      </c>
      <c r="S57" s="51" t="str">
        <f t="shared" si="50"/>
        <v xml:space="preserve"> </v>
      </c>
      <c r="T57" s="51" t="str">
        <f t="shared" si="51"/>
        <v xml:space="preserve"> </v>
      </c>
      <c r="U57" s="51" t="str">
        <f t="shared" si="52"/>
        <v xml:space="preserve"> </v>
      </c>
      <c r="V57" s="51" t="str">
        <f t="shared" si="53"/>
        <v xml:space="preserve"> </v>
      </c>
      <c r="W57" s="51" t="str">
        <f t="shared" si="54"/>
        <v xml:space="preserve"> </v>
      </c>
      <c r="X57" s="5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2.75" customHeight="1" x14ac:dyDescent="0.2">
      <c r="A58" s="18"/>
      <c r="B58" s="4"/>
      <c r="C58" s="68"/>
      <c r="D58" s="68"/>
      <c r="E58" s="68"/>
      <c r="F58" s="17"/>
      <c r="G58" s="45"/>
      <c r="H58" s="45"/>
      <c r="I58" s="43"/>
      <c r="J58" s="43"/>
      <c r="K58" s="3"/>
      <c r="L58" s="55" t="str">
        <f t="array" ref="L58">IF(ISNA(INDEX($O$2:$DA$2,1,MATCH(1,IF($O58:$DM58,1),0))),"",INDEX($O$2:$DA$2,1,MATCH(1,IF($O58:$DM58,1),0)))</f>
        <v/>
      </c>
      <c r="M58" s="55" t="str">
        <f t="shared" si="1"/>
        <v/>
      </c>
      <c r="N58" s="56">
        <f t="shared" si="18"/>
        <v>0</v>
      </c>
      <c r="O58" s="51"/>
      <c r="P58" s="51" t="str">
        <f t="shared" si="47"/>
        <v xml:space="preserve"> </v>
      </c>
      <c r="Q58" s="51" t="str">
        <f t="shared" si="48"/>
        <v xml:space="preserve"> </v>
      </c>
      <c r="R58" s="51" t="str">
        <f t="shared" si="49"/>
        <v xml:space="preserve"> </v>
      </c>
      <c r="S58" s="51" t="str">
        <f t="shared" si="50"/>
        <v xml:space="preserve"> </v>
      </c>
      <c r="T58" s="51" t="str">
        <f t="shared" si="51"/>
        <v xml:space="preserve"> </v>
      </c>
      <c r="U58" s="51" t="str">
        <f t="shared" si="52"/>
        <v xml:space="preserve"> </v>
      </c>
      <c r="V58" s="51" t="str">
        <f t="shared" si="53"/>
        <v xml:space="preserve"> </v>
      </c>
      <c r="W58" s="51" t="str">
        <f t="shared" si="54"/>
        <v xml:space="preserve"> </v>
      </c>
      <c r="X58" s="5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 x14ac:dyDescent="0.2">
      <c r="A59" s="18"/>
      <c r="B59" s="4"/>
      <c r="C59" s="68"/>
      <c r="D59" s="4"/>
      <c r="E59" s="4"/>
      <c r="F59" s="17"/>
      <c r="G59" s="45"/>
      <c r="H59" s="45"/>
      <c r="I59" s="43"/>
      <c r="J59" s="43"/>
      <c r="K59" s="3"/>
      <c r="L59" s="55" t="str">
        <f t="array" ref="L59">IF(ISNA(INDEX($O$2:$DA$2,1,MATCH(1,IF($O59:$DM59,1),0))),"",INDEX($O$2:$DA$2,1,MATCH(1,IF($O59:$DM59,1),0)))</f>
        <v/>
      </c>
      <c r="M59" s="55" t="str">
        <f t="shared" si="1"/>
        <v/>
      </c>
      <c r="N59" s="56">
        <f t="shared" si="14"/>
        <v>0</v>
      </c>
      <c r="O59" s="51"/>
      <c r="P59" s="51" t="str">
        <f t="shared" si="47"/>
        <v xml:space="preserve"> </v>
      </c>
      <c r="Q59" s="51" t="str">
        <f t="shared" si="48"/>
        <v xml:space="preserve"> </v>
      </c>
      <c r="R59" s="51" t="str">
        <f t="shared" si="49"/>
        <v xml:space="preserve"> </v>
      </c>
      <c r="S59" s="51" t="str">
        <f t="shared" si="50"/>
        <v xml:space="preserve"> </v>
      </c>
      <c r="T59" s="51" t="str">
        <f t="shared" si="51"/>
        <v xml:space="preserve"> </v>
      </c>
      <c r="U59" s="51" t="str">
        <f t="shared" si="52"/>
        <v xml:space="preserve"> </v>
      </c>
      <c r="V59" s="51" t="str">
        <f t="shared" si="53"/>
        <v xml:space="preserve"> </v>
      </c>
      <c r="W59" s="51" t="str">
        <f t="shared" si="54"/>
        <v xml:space="preserve"> </v>
      </c>
      <c r="X59" s="5"/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 x14ac:dyDescent="0.2">
      <c r="A60" s="18"/>
      <c r="B60" s="18"/>
      <c r="C60" s="18"/>
      <c r="D60" s="18"/>
      <c r="E60" s="18"/>
      <c r="F60" s="18"/>
      <c r="G60" s="18"/>
      <c r="H60" s="18"/>
      <c r="I60" s="63" t="s">
        <v>59</v>
      </c>
      <c r="J60" s="48">
        <f>MATCH(MAX($O$2:$W$2),$O$2:$W$2,0)-1</f>
        <v>8</v>
      </c>
      <c r="K60" s="18"/>
      <c r="L60" s="18"/>
      <c r="M60" s="18"/>
      <c r="N60" s="38" t="s">
        <v>61</v>
      </c>
      <c r="O60" s="56">
        <f>SUM(O3:O51)</f>
        <v>33.5</v>
      </c>
      <c r="P60" s="56">
        <f>SUM(P3:P51)</f>
        <v>18.25</v>
      </c>
      <c r="Q60" s="56">
        <f>SUM(Q3:Q51)</f>
        <v>24.5</v>
      </c>
      <c r="R60" s="56">
        <f>SUM(R3:R51)</f>
        <v>40</v>
      </c>
      <c r="S60" s="56">
        <f t="shared" ref="S60:W60" si="55">SUM(S3:S51)</f>
        <v>33.450000000000003</v>
      </c>
      <c r="T60" s="56">
        <f t="shared" si="55"/>
        <v>24.75</v>
      </c>
      <c r="U60" s="56">
        <f t="shared" si="55"/>
        <v>0</v>
      </c>
      <c r="V60" s="56">
        <f t="shared" si="55"/>
        <v>0</v>
      </c>
      <c r="W60" s="56">
        <f t="shared" si="55"/>
        <v>0</v>
      </c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 x14ac:dyDescent="0.2">
      <c r="A61" s="18"/>
      <c r="B61" s="18"/>
      <c r="C61" s="18"/>
      <c r="D61" s="18"/>
      <c r="E61" s="18"/>
      <c r="F61" s="18"/>
      <c r="G61" s="18"/>
      <c r="H61" s="18"/>
      <c r="I61" s="101" t="s">
        <v>60</v>
      </c>
      <c r="J61" s="102"/>
      <c r="K61" s="48">
        <f>K63/J60</f>
        <v>33.34375</v>
      </c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 ht="49.5" x14ac:dyDescent="0.2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27">
        <f t="shared" ref="N62:W62" si="56">IF(OR(ISBLANK(O2),O2=$X$2),"",O2)</f>
        <v>41372</v>
      </c>
      <c r="O62" s="27">
        <f t="shared" si="56"/>
        <v>41379</v>
      </c>
      <c r="P62" s="27">
        <f t="shared" si="56"/>
        <v>41386</v>
      </c>
      <c r="Q62" s="27">
        <f t="shared" si="56"/>
        <v>41393</v>
      </c>
      <c r="R62" s="27">
        <f t="shared" si="56"/>
        <v>41407</v>
      </c>
      <c r="S62" s="27">
        <f t="shared" si="56"/>
        <v>41414</v>
      </c>
      <c r="T62" s="27">
        <f t="shared" si="56"/>
        <v>41421</v>
      </c>
      <c r="U62" s="27">
        <f t="shared" si="56"/>
        <v>41428</v>
      </c>
      <c r="V62" s="27">
        <f t="shared" si="56"/>
        <v>41435</v>
      </c>
      <c r="W62" s="27" t="str">
        <f t="shared" si="56"/>
        <v/>
      </c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 x14ac:dyDescent="0.2">
      <c r="A63" s="18"/>
      <c r="B63" s="29"/>
      <c r="C63" s="98" t="s">
        <v>0</v>
      </c>
      <c r="D63" s="99"/>
      <c r="E63" s="99"/>
      <c r="F63" s="99"/>
      <c r="G63" s="99"/>
      <c r="H63" s="99"/>
      <c r="I63" s="100"/>
      <c r="J63" s="30">
        <f>MAX(H3:H50)-MIN(G3:G50)</f>
        <v>56</v>
      </c>
      <c r="K63" s="30">
        <f>SUM(K3:K51)</f>
        <v>266.75</v>
      </c>
      <c r="L63" s="31"/>
      <c r="M63" s="32"/>
      <c r="N63" s="67">
        <v>296</v>
      </c>
      <c r="O63" s="50">
        <f t="shared" ref="O63:R63" si="57">IF(O62="","",N63)</f>
        <v>296</v>
      </c>
      <c r="P63" s="50">
        <f t="shared" si="57"/>
        <v>296</v>
      </c>
      <c r="Q63" s="50">
        <f t="shared" si="57"/>
        <v>296</v>
      </c>
      <c r="R63" s="50">
        <f t="shared" si="57"/>
        <v>296</v>
      </c>
      <c r="S63" s="50">
        <f>IF(S62="","",R63)</f>
        <v>296</v>
      </c>
      <c r="T63" s="50">
        <f>IF(T62="","",S63)</f>
        <v>296</v>
      </c>
      <c r="U63" s="50">
        <f>IF(U62="","",T63)</f>
        <v>296</v>
      </c>
      <c r="V63" s="50">
        <f>IF(V62="","",U63)</f>
        <v>296</v>
      </c>
      <c r="W63" s="50"/>
      <c r="X63" s="29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 ht="25.5" x14ac:dyDescent="0.2">
      <c r="A64" s="18"/>
      <c r="B64" s="29"/>
      <c r="C64" s="58" t="s">
        <v>31</v>
      </c>
      <c r="D64" s="59"/>
      <c r="E64" s="59"/>
      <c r="F64" s="59"/>
      <c r="G64" s="59"/>
      <c r="H64" s="59"/>
      <c r="I64" s="59"/>
      <c r="J64" s="59"/>
      <c r="K64" s="59"/>
      <c r="L64" s="59"/>
      <c r="M64" s="59"/>
      <c r="N64" s="34">
        <f t="array" ref="N64">IF(N62="","",M64+IF(ISNA(VLOOKUP(O2,$H$2:$H$51,2,FALSE)),0,SUM(IF($H$2:$K$51=O2,$K$2:$K$51))))</f>
        <v>0</v>
      </c>
      <c r="O64" s="34">
        <f t="array" ref="O64">IF(O62="","",N64+IF(ISNA(VLOOKUP(P2,$H$2:$H$51,2,FALSE)),0,SUM(IF($H$2:$K$51=P2,$K$2:$K$51))))</f>
        <v>31</v>
      </c>
      <c r="P64" s="34">
        <f t="array" ref="P64">IF(P62="","",O64+IF(ISNA(VLOOKUP(Q2,$H$2:$H$51,2,FALSE)),0,SUM(IF($H$2:$K$51=Q2,$K$2:$K$51))))</f>
        <v>41.25</v>
      </c>
      <c r="Q64" s="34">
        <f t="array" ref="Q64">IF(Q62="","",P64+IF(ISNA(VLOOKUP(R2,$H$2:$H$51,2,FALSE)),0,SUM(IF($H$2:$K$51=R2,$K$2:$K$51))))</f>
        <v>120.25</v>
      </c>
      <c r="R64" s="34">
        <f t="array" ref="R64">IF(R62="","",Q64+IF(ISNA(VLOOKUP(S2,$H$2:$H$51,2,FALSE)),0,SUM(IF($H$2:$K$51=S2,$K$2:$K$51))))</f>
        <v>146.25</v>
      </c>
      <c r="S64" s="34">
        <f t="array" ref="S64">IF(S62="","",R64+IF(ISNA(VLOOKUP(T2,$H$2:$H$51,2,FALSE)),0,SUM(IF($H$2:$K$51=T2,$K$2:$K$51))))</f>
        <v>176.75</v>
      </c>
      <c r="T64" s="34">
        <f t="array" ref="T64">IF(T62="","",S64+IF(ISNA(VLOOKUP(U2,$H$2:$H$51,2,FALSE)),0,SUM(IF($H$2:$K$51=U2,$K$2:$K$51))))</f>
        <v>209.25</v>
      </c>
      <c r="U64" s="34">
        <f t="array" ref="U64">IF(U62="","",T64+IF(ISNA(VLOOKUP(V2,$H$2:$H$51,2,FALSE)),0,SUM(IF($H$2:$K$51=V2,$K$2:$K$51))))</f>
        <v>261.75</v>
      </c>
      <c r="V64" s="34"/>
      <c r="W64" s="34"/>
      <c r="X64" s="29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 ht="25.5" x14ac:dyDescent="0.2">
      <c r="A65" s="18"/>
      <c r="B65" s="18"/>
      <c r="C65" s="60" t="s">
        <v>15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4">
        <v>0</v>
      </c>
      <c r="O65" s="6">
        <f>SUMIFS($K$3:$K$51,P3:P51,"=X")</f>
        <v>18</v>
      </c>
      <c r="P65" s="6">
        <f>SUMIFS($K$3:$K$51,Q3:Q51,"=X")</f>
        <v>41.25</v>
      </c>
      <c r="Q65" s="6">
        <f>SUMIFS($K$3:$K$51,R3:R51,"=X")</f>
        <v>66.25</v>
      </c>
      <c r="R65" s="6">
        <f>SUMIFS($K$3:$K$51,S3:S51,"=X")</f>
        <v>138.25</v>
      </c>
      <c r="S65" s="6"/>
      <c r="T65" s="6"/>
      <c r="U65" s="6"/>
      <c r="V65" s="6"/>
      <c r="W65" s="6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 ht="25.5" x14ac:dyDescent="0.2">
      <c r="A66" s="18"/>
      <c r="B66" s="18"/>
      <c r="C66" s="62" t="s">
        <v>32</v>
      </c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65">
        <v>0</v>
      </c>
      <c r="O66" s="6">
        <f>SUM(O3:O51)+N66</f>
        <v>33.5</v>
      </c>
      <c r="P66" s="6">
        <f>SUM(P3:P51)+O66</f>
        <v>51.75</v>
      </c>
      <c r="Q66" s="6">
        <f>SUM(Q3:Q51)+P66</f>
        <v>76.25</v>
      </c>
      <c r="R66" s="6">
        <f>SUM(R3:R51)+Q66</f>
        <v>116.25</v>
      </c>
      <c r="S66" s="6"/>
      <c r="T66" s="6"/>
      <c r="U66" s="6"/>
      <c r="V66" s="6"/>
      <c r="W66" s="6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 x14ac:dyDescent="0.2">
      <c r="A67" s="18"/>
      <c r="B67" s="18"/>
      <c r="C67" s="19"/>
      <c r="D67" s="19"/>
      <c r="E67" s="19"/>
      <c r="F67" s="19"/>
      <c r="G67" s="19"/>
      <c r="H67" s="19"/>
      <c r="I67" s="19"/>
      <c r="J67" s="19"/>
      <c r="K67" s="19"/>
      <c r="L67" s="35"/>
      <c r="M67" s="35"/>
      <c r="N67" s="35"/>
      <c r="O67" s="36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 ht="12.75" customHeight="1" x14ac:dyDescent="0.2">
      <c r="A68" s="18"/>
      <c r="B68" s="18"/>
      <c r="C68" s="19"/>
      <c r="D68" s="19"/>
      <c r="E68" s="19"/>
      <c r="F68" s="19"/>
      <c r="G68" s="19"/>
      <c r="H68" s="19"/>
      <c r="I68" s="19"/>
      <c r="J68" s="19"/>
      <c r="K68" s="19"/>
      <c r="L68" s="35"/>
      <c r="M68" s="90" t="s">
        <v>19</v>
      </c>
      <c r="N68" s="91"/>
      <c r="O68" s="20" t="s">
        <v>18</v>
      </c>
      <c r="P68" s="21"/>
      <c r="Q68" s="21"/>
      <c r="R68" s="21"/>
      <c r="S68" s="21"/>
      <c r="T68" s="21"/>
      <c r="U68" s="21"/>
      <c r="V68" s="21"/>
      <c r="W68" s="21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 ht="49.5" x14ac:dyDescent="0.2">
      <c r="A69" s="18"/>
      <c r="B69" s="18"/>
      <c r="C69" s="19"/>
      <c r="D69" s="19"/>
      <c r="E69" s="19"/>
      <c r="F69" s="19"/>
      <c r="G69" s="19"/>
      <c r="H69" s="19"/>
      <c r="I69" s="19"/>
      <c r="J69" s="19"/>
      <c r="K69" s="19"/>
      <c r="L69" s="35"/>
      <c r="M69" s="23" t="s">
        <v>5</v>
      </c>
      <c r="N69" s="23" t="s">
        <v>7</v>
      </c>
      <c r="O69" s="27">
        <f t="shared" ref="O69:R69" si="58">O2</f>
        <v>41372</v>
      </c>
      <c r="P69" s="39">
        <f t="shared" si="58"/>
        <v>41379</v>
      </c>
      <c r="Q69" s="39">
        <f t="shared" si="58"/>
        <v>41386</v>
      </c>
      <c r="R69" s="39">
        <f t="shared" si="58"/>
        <v>41393</v>
      </c>
      <c r="S69" s="39">
        <f>S2</f>
        <v>41407</v>
      </c>
      <c r="T69" s="39">
        <f>T2</f>
        <v>41414</v>
      </c>
      <c r="U69" s="39">
        <f>U2</f>
        <v>41421</v>
      </c>
      <c r="V69" s="39">
        <f>V2</f>
        <v>41428</v>
      </c>
      <c r="W69" s="39"/>
      <c r="X69" s="23" t="s">
        <v>13</v>
      </c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 x14ac:dyDescent="0.2">
      <c r="A70" s="18"/>
      <c r="B70" s="18"/>
      <c r="C70" s="19"/>
      <c r="D70" s="19"/>
      <c r="E70" s="19"/>
      <c r="F70" s="19"/>
      <c r="G70" s="19"/>
      <c r="H70" s="19"/>
      <c r="I70" s="19"/>
      <c r="J70" s="19"/>
      <c r="K70" s="19"/>
      <c r="L70" s="35"/>
      <c r="M70" s="49" t="s">
        <v>103</v>
      </c>
      <c r="N70" s="37">
        <f>SUM(O60:CG60)</f>
        <v>174.45</v>
      </c>
      <c r="O70" s="37">
        <f t="shared" ref="O70:W71" si="59">SUMIF($F$3:$F$41,$M70,O$3:O$41)</f>
        <v>0</v>
      </c>
      <c r="P70" s="37">
        <f t="shared" si="59"/>
        <v>0</v>
      </c>
      <c r="Q70" s="37">
        <f t="shared" si="59"/>
        <v>0</v>
      </c>
      <c r="R70" s="37">
        <f t="shared" si="59"/>
        <v>0</v>
      </c>
      <c r="S70" s="37">
        <f t="shared" si="59"/>
        <v>0</v>
      </c>
      <c r="T70" s="37">
        <f t="shared" si="59"/>
        <v>0</v>
      </c>
      <c r="U70" s="37">
        <f t="shared" si="59"/>
        <v>0</v>
      </c>
      <c r="V70" s="37">
        <f t="shared" si="59"/>
        <v>0</v>
      </c>
      <c r="W70" s="37">
        <f t="shared" si="59"/>
        <v>0</v>
      </c>
      <c r="X70" s="5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 x14ac:dyDescent="0.2">
      <c r="A71" s="18"/>
      <c r="B71" s="18"/>
      <c r="C71" s="19"/>
      <c r="D71" s="19"/>
      <c r="E71" s="19"/>
      <c r="F71" s="19"/>
      <c r="G71" s="19"/>
      <c r="H71" s="19"/>
      <c r="I71" s="19"/>
      <c r="J71" s="19"/>
      <c r="K71" s="19"/>
      <c r="L71" s="35"/>
      <c r="M71" s="49" t="s">
        <v>104</v>
      </c>
      <c r="N71" s="37">
        <f>SUM(O61:CG61)</f>
        <v>0</v>
      </c>
      <c r="O71" s="37">
        <f t="shared" si="59"/>
        <v>0</v>
      </c>
      <c r="P71" s="37">
        <f t="shared" si="59"/>
        <v>0</v>
      </c>
      <c r="Q71" s="37">
        <f t="shared" si="59"/>
        <v>0</v>
      </c>
      <c r="R71" s="37">
        <f t="shared" si="59"/>
        <v>0</v>
      </c>
      <c r="S71" s="37">
        <f t="shared" si="59"/>
        <v>0</v>
      </c>
      <c r="T71" s="37">
        <f t="shared" si="59"/>
        <v>0</v>
      </c>
      <c r="U71" s="37">
        <f t="shared" si="59"/>
        <v>0</v>
      </c>
      <c r="V71" s="37">
        <f t="shared" si="59"/>
        <v>0</v>
      </c>
      <c r="W71" s="37">
        <f t="shared" si="59"/>
        <v>0</v>
      </c>
      <c r="X71" s="5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  <row r="72" spans="1:34" x14ac:dyDescent="0.2">
      <c r="A72" s="18"/>
      <c r="B72" s="18"/>
      <c r="C72" s="19"/>
      <c r="D72" s="19"/>
      <c r="E72" s="19"/>
      <c r="F72" s="19"/>
      <c r="G72" s="19"/>
      <c r="H72" s="19"/>
      <c r="I72" s="19"/>
      <c r="J72" s="19"/>
      <c r="K72" s="19"/>
      <c r="L72" s="35"/>
      <c r="M72" s="49" t="s">
        <v>105</v>
      </c>
      <c r="N72" s="37">
        <v>0</v>
      </c>
      <c r="O72" s="37">
        <v>0</v>
      </c>
      <c r="P72" s="37">
        <v>0</v>
      </c>
      <c r="Q72" s="37">
        <v>0</v>
      </c>
      <c r="R72" s="37">
        <v>0</v>
      </c>
      <c r="S72" s="37">
        <v>0</v>
      </c>
      <c r="T72" s="37">
        <v>0</v>
      </c>
      <c r="U72" s="37">
        <v>0</v>
      </c>
      <c r="V72" s="37">
        <v>0</v>
      </c>
      <c r="W72" s="37">
        <v>0</v>
      </c>
      <c r="X72" s="5"/>
      <c r="Y72" s="18"/>
      <c r="Z72" s="18"/>
      <c r="AA72" s="18"/>
      <c r="AB72" s="18"/>
      <c r="AC72" s="18"/>
      <c r="AD72" s="18"/>
      <c r="AE72" s="18"/>
      <c r="AF72" s="18"/>
      <c r="AG72" s="18"/>
      <c r="AH72" s="18"/>
    </row>
    <row r="73" spans="1:34" x14ac:dyDescent="0.2">
      <c r="A73" s="18"/>
      <c r="B73" s="18"/>
      <c r="C73" s="19"/>
      <c r="D73" s="19"/>
      <c r="E73" s="19"/>
      <c r="F73" s="19"/>
      <c r="G73" s="19"/>
      <c r="H73" s="19"/>
      <c r="I73" s="19"/>
      <c r="J73" s="19"/>
      <c r="K73" s="19"/>
      <c r="L73" s="35"/>
      <c r="M73" s="49" t="s">
        <v>107</v>
      </c>
      <c r="N73" s="37">
        <v>0</v>
      </c>
      <c r="O73" s="37">
        <v>0</v>
      </c>
      <c r="P73" s="37">
        <v>0</v>
      </c>
      <c r="Q73" s="37">
        <v>0</v>
      </c>
      <c r="R73" s="37">
        <v>0</v>
      </c>
      <c r="S73" s="37">
        <v>0</v>
      </c>
      <c r="T73" s="37">
        <v>0</v>
      </c>
      <c r="U73" s="37">
        <v>0</v>
      </c>
      <c r="V73" s="37">
        <v>0</v>
      </c>
      <c r="W73" s="37">
        <v>0</v>
      </c>
      <c r="X73" s="5"/>
      <c r="Y73" s="18"/>
      <c r="Z73" s="18"/>
      <c r="AA73" s="18"/>
      <c r="AB73" s="18"/>
      <c r="AC73" s="18"/>
      <c r="AD73" s="18"/>
      <c r="AE73" s="18"/>
      <c r="AF73" s="18"/>
      <c r="AG73" s="18"/>
      <c r="AH73" s="18"/>
    </row>
    <row r="74" spans="1:34" x14ac:dyDescent="0.2">
      <c r="A74" s="18"/>
      <c r="B74" s="18"/>
      <c r="C74" s="19"/>
      <c r="D74" s="19"/>
      <c r="E74" s="19"/>
      <c r="F74" s="19"/>
      <c r="G74" s="19"/>
      <c r="H74" s="19"/>
      <c r="I74" s="19"/>
      <c r="J74" s="19"/>
      <c r="K74" s="19"/>
      <c r="L74" s="35"/>
      <c r="M74" s="49" t="s">
        <v>111</v>
      </c>
      <c r="N74" s="37">
        <v>0</v>
      </c>
      <c r="O74" s="37">
        <v>0</v>
      </c>
      <c r="P74" s="37">
        <v>0</v>
      </c>
      <c r="Q74" s="37">
        <v>0</v>
      </c>
      <c r="R74" s="37">
        <v>0</v>
      </c>
      <c r="S74" s="37">
        <v>0</v>
      </c>
      <c r="T74" s="37">
        <v>0</v>
      </c>
      <c r="U74" s="37">
        <v>0</v>
      </c>
      <c r="V74" s="37">
        <v>0</v>
      </c>
      <c r="W74" s="37">
        <v>0</v>
      </c>
      <c r="X74" s="5"/>
      <c r="Y74" s="18"/>
      <c r="Z74" s="18"/>
      <c r="AA74" s="18"/>
      <c r="AB74" s="18"/>
      <c r="AC74" s="18"/>
      <c r="AD74" s="18"/>
      <c r="AE74" s="18"/>
      <c r="AF74" s="18"/>
      <c r="AG74" s="18"/>
      <c r="AH74" s="18"/>
    </row>
    <row r="75" spans="1:34" x14ac:dyDescent="0.2">
      <c r="A75" s="18"/>
      <c r="B75" s="18"/>
      <c r="C75" s="19"/>
      <c r="D75" s="19"/>
      <c r="E75" s="19"/>
      <c r="F75" s="19"/>
      <c r="G75" s="19"/>
      <c r="H75" s="19"/>
      <c r="I75" s="19"/>
      <c r="J75" s="19"/>
      <c r="K75" s="19"/>
      <c r="L75" s="35"/>
      <c r="M75" s="49" t="s">
        <v>107</v>
      </c>
      <c r="N75" s="37">
        <v>0</v>
      </c>
      <c r="O75" s="37">
        <v>0</v>
      </c>
      <c r="P75" s="37">
        <v>0</v>
      </c>
      <c r="Q75" s="37">
        <v>0</v>
      </c>
      <c r="R75" s="37">
        <v>0</v>
      </c>
      <c r="S75" s="37">
        <v>0</v>
      </c>
      <c r="T75" s="37">
        <v>0</v>
      </c>
      <c r="U75" s="37">
        <v>0</v>
      </c>
      <c r="V75" s="37">
        <v>0</v>
      </c>
      <c r="W75" s="37">
        <v>0</v>
      </c>
      <c r="X75" s="5"/>
      <c r="Y75" s="18"/>
      <c r="Z75" s="18"/>
      <c r="AA75" s="18"/>
      <c r="AB75" s="18"/>
      <c r="AC75" s="18"/>
      <c r="AD75" s="18"/>
      <c r="AE75" s="18"/>
      <c r="AF75" s="18"/>
      <c r="AG75" s="18"/>
      <c r="AH75" s="18"/>
    </row>
    <row r="76" spans="1:34" x14ac:dyDescent="0.2">
      <c r="A76" s="18"/>
      <c r="B76" s="18"/>
      <c r="C76" s="19"/>
      <c r="D76" s="19"/>
      <c r="E76" s="19"/>
      <c r="F76" s="19"/>
      <c r="G76" s="19"/>
      <c r="H76" s="19"/>
      <c r="I76" s="19"/>
      <c r="J76" s="19"/>
      <c r="K76" s="19"/>
      <c r="L76" s="35"/>
      <c r="M76" s="49" t="s">
        <v>106</v>
      </c>
      <c r="N76" s="37">
        <f>SUM(O66:CG66)</f>
        <v>277.75</v>
      </c>
      <c r="O76" s="37">
        <f t="shared" ref="O76:V77" si="60">SUMIF($F$3:$F$41,$M76,O$3:O$41)</f>
        <v>0</v>
      </c>
      <c r="P76" s="37">
        <f t="shared" si="60"/>
        <v>0</v>
      </c>
      <c r="Q76" s="37">
        <f t="shared" si="60"/>
        <v>0</v>
      </c>
      <c r="R76" s="37">
        <f t="shared" si="60"/>
        <v>0</v>
      </c>
      <c r="S76" s="37">
        <f t="shared" si="60"/>
        <v>0</v>
      </c>
      <c r="T76" s="37">
        <f t="shared" si="60"/>
        <v>0</v>
      </c>
      <c r="U76" s="37">
        <f t="shared" si="60"/>
        <v>0</v>
      </c>
      <c r="V76" s="37">
        <f t="shared" si="60"/>
        <v>0</v>
      </c>
      <c r="W76" s="37">
        <v>0</v>
      </c>
      <c r="X76" s="5"/>
      <c r="Y76" s="18"/>
      <c r="Z76" s="18"/>
      <c r="AA76" s="18"/>
      <c r="AB76" s="18"/>
      <c r="AC76" s="18"/>
      <c r="AD76" s="18"/>
      <c r="AE76" s="18"/>
      <c r="AF76" s="18"/>
      <c r="AG76" s="18"/>
      <c r="AH76" s="18"/>
    </row>
    <row r="77" spans="1:34" x14ac:dyDescent="0.2">
      <c r="A77" s="18"/>
      <c r="B77" s="18"/>
      <c r="C77" s="19"/>
      <c r="D77" s="19"/>
      <c r="E77" s="19"/>
      <c r="F77" s="19"/>
      <c r="G77" s="19"/>
      <c r="H77" s="19"/>
      <c r="I77" s="57"/>
      <c r="J77" s="19"/>
      <c r="K77" s="19"/>
      <c r="L77" s="35"/>
      <c r="M77" s="49"/>
      <c r="N77" s="37">
        <f>SUM(O67:CG67)</f>
        <v>0</v>
      </c>
      <c r="O77" s="37">
        <f t="shared" si="60"/>
        <v>0</v>
      </c>
      <c r="P77" s="37">
        <f t="shared" si="60"/>
        <v>0</v>
      </c>
      <c r="Q77" s="37">
        <f t="shared" si="60"/>
        <v>0</v>
      </c>
      <c r="R77" s="37">
        <f t="shared" si="60"/>
        <v>0</v>
      </c>
      <c r="S77" s="37">
        <f t="shared" si="60"/>
        <v>0</v>
      </c>
      <c r="T77" s="37">
        <f t="shared" si="60"/>
        <v>0</v>
      </c>
      <c r="U77" s="37">
        <f t="shared" si="60"/>
        <v>0</v>
      </c>
      <c r="V77" s="37">
        <f t="shared" si="60"/>
        <v>0</v>
      </c>
      <c r="W77" s="37">
        <f>SUMIF($F$3:$F$41,$M77,W$3:W$41)</f>
        <v>0</v>
      </c>
      <c r="X77" s="5"/>
      <c r="Y77" s="18"/>
      <c r="Z77" s="18"/>
      <c r="AA77" s="18"/>
      <c r="AB77" s="18"/>
      <c r="AC77" s="18"/>
      <c r="AD77" s="18"/>
      <c r="AE77" s="18"/>
      <c r="AF77" s="18"/>
      <c r="AG77" s="18"/>
      <c r="AH77" s="18"/>
    </row>
    <row r="78" spans="1:34" x14ac:dyDescent="0.2">
      <c r="A78" s="18"/>
      <c r="B78" s="18"/>
      <c r="C78" s="19"/>
      <c r="D78" s="19"/>
      <c r="E78" s="19"/>
      <c r="F78" s="19"/>
      <c r="G78" s="19"/>
      <c r="H78" s="19"/>
      <c r="I78" s="19"/>
      <c r="J78" s="19"/>
      <c r="K78" s="19"/>
      <c r="L78" s="35"/>
      <c r="M78" s="47" t="s">
        <v>20</v>
      </c>
      <c r="N78" s="48">
        <f>SUM(N70:N77)</f>
        <v>452.2</v>
      </c>
      <c r="O78" s="48">
        <f t="shared" ref="O78:R78" si="61">SUM(O70:O77)</f>
        <v>0</v>
      </c>
      <c r="P78" s="48">
        <f t="shared" si="61"/>
        <v>0</v>
      </c>
      <c r="Q78" s="48">
        <f t="shared" si="61"/>
        <v>0</v>
      </c>
      <c r="R78" s="48">
        <f t="shared" si="61"/>
        <v>0</v>
      </c>
      <c r="S78" s="48">
        <f>SUM(S70:S77)</f>
        <v>0</v>
      </c>
      <c r="T78" s="48">
        <f>SUM(T70:T77)</f>
        <v>0</v>
      </c>
      <c r="U78" s="48">
        <f>SUM(U70:U77)</f>
        <v>0</v>
      </c>
      <c r="V78" s="48">
        <f>SUM(V70:V77)</f>
        <v>0</v>
      </c>
      <c r="W78" s="48">
        <f>SUM(W70:W77)</f>
        <v>0</v>
      </c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</row>
    <row r="79" spans="1:34" x14ac:dyDescent="0.2">
      <c r="A79" s="18"/>
      <c r="B79" s="18"/>
      <c r="C79" s="19"/>
      <c r="D79" s="19"/>
      <c r="E79" s="19"/>
      <c r="F79" s="19"/>
      <c r="G79" s="19"/>
      <c r="H79" s="19"/>
      <c r="I79" s="19"/>
      <c r="J79" s="19"/>
      <c r="K79" s="19"/>
      <c r="L79" s="35"/>
      <c r="M79" s="35"/>
      <c r="N79" s="35"/>
      <c r="O79" s="36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</row>
    <row r="80" spans="1:34" x14ac:dyDescent="0.2">
      <c r="A80" s="18"/>
      <c r="B80" s="18"/>
      <c r="C80" s="19"/>
      <c r="D80" s="19"/>
      <c r="E80" s="19"/>
      <c r="F80" s="19"/>
      <c r="G80" s="19"/>
      <c r="H80" s="19"/>
      <c r="I80" s="19"/>
      <c r="J80" s="19"/>
      <c r="K80" s="19"/>
      <c r="L80" s="35"/>
      <c r="M80" s="35"/>
      <c r="N80" s="35"/>
      <c r="O80" s="36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</row>
    <row r="81" spans="1:34" x14ac:dyDescent="0.2">
      <c r="A81" s="18"/>
      <c r="B81" s="18"/>
      <c r="C81" s="19"/>
      <c r="D81" s="19"/>
      <c r="E81" s="19"/>
      <c r="F81" s="19"/>
      <c r="G81" s="19"/>
      <c r="H81" s="19"/>
      <c r="I81" s="19"/>
      <c r="J81" s="19"/>
      <c r="K81" s="19"/>
      <c r="L81" s="35"/>
      <c r="M81" s="35"/>
      <c r="N81" s="35"/>
      <c r="O81" s="36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</row>
  </sheetData>
  <sheetProtection selectLockedCells="1"/>
  <customSheetViews>
    <customSheetView guid="{5C9AFCBE-E352-4226-8750-F441413CCE21}" showGridLines="0" fitToPage="1" topLeftCell="F1">
      <selection activeCell="Y1" sqref="Y1"/>
      <pageMargins left="0.75" right="0.75" top="1" bottom="1" header="0.5" footer="0.5"/>
      <pageSetup scale="48" orientation="landscape" r:id="rId1"/>
      <headerFooter alignWithMargins="0">
        <oddHeader>&amp;A</oddHeader>
        <oddFooter>Page &amp;P of &amp;N</oddFooter>
      </headerFooter>
    </customSheetView>
  </customSheetViews>
  <mergeCells count="5">
    <mergeCell ref="M68:N68"/>
    <mergeCell ref="G1:K1"/>
    <mergeCell ref="L1:N1"/>
    <mergeCell ref="C63:I63"/>
    <mergeCell ref="I61:J61"/>
  </mergeCells>
  <conditionalFormatting sqref="L56:M59 L3:M47">
    <cfRule type="containsBlanks" priority="94" stopIfTrue="1">
      <formula>LEN(TRIM(L3))=0</formula>
    </cfRule>
  </conditionalFormatting>
  <conditionalFormatting sqref="M56:M59 M13:M47">
    <cfRule type="cellIs" dxfId="29" priority="146" operator="greaterThan">
      <formula>#REF!</formula>
    </cfRule>
    <cfRule type="cellIs" dxfId="28" priority="147" operator="lessThan">
      <formula>#REF!</formula>
    </cfRule>
  </conditionalFormatting>
  <conditionalFormatting sqref="L56:M59 L3:M47">
    <cfRule type="cellIs" dxfId="27" priority="153" operator="greaterThan">
      <formula>G3</formula>
    </cfRule>
    <cfRule type="cellIs" dxfId="26" priority="154" operator="lessThan">
      <formula>G3</formula>
    </cfRule>
  </conditionalFormatting>
  <conditionalFormatting sqref="N3:N59">
    <cfRule type="cellIs" priority="157" stopIfTrue="1" operator="equal">
      <formula>0</formula>
    </cfRule>
    <cfRule type="cellIs" dxfId="25" priority="158" operator="lessThan">
      <formula>K3</formula>
    </cfRule>
    <cfRule type="cellIs" dxfId="24" priority="159" operator="greaterThan">
      <formula>K3</formula>
    </cfRule>
  </conditionalFormatting>
  <conditionalFormatting sqref="O65:W65">
    <cfRule type="cellIs" dxfId="23" priority="51" operator="greaterThan">
      <formula>0</formula>
    </cfRule>
  </conditionalFormatting>
  <conditionalFormatting sqref="O66:W66">
    <cfRule type="cellIs" dxfId="22" priority="50" operator="greaterThan">
      <formula>0</formula>
    </cfRule>
  </conditionalFormatting>
  <conditionalFormatting sqref="G56:H59 G51:H52 G49:H49 G3:H47">
    <cfRule type="expression" dxfId="21" priority="40">
      <formula>FormulaInCell</formula>
    </cfRule>
  </conditionalFormatting>
  <conditionalFormatting sqref="O3:W59">
    <cfRule type="cellIs" dxfId="20" priority="47" operator="equal">
      <formula>"X"</formula>
    </cfRule>
    <cfRule type="cellIs" dxfId="19" priority="48" operator="greaterThan">
      <formula>0</formula>
    </cfRule>
    <cfRule type="expression" dxfId="18" priority="49">
      <formula>AND(O$2&gt;=$G3,O$2&lt;$H3,ISNUMBER(O3))</formula>
    </cfRule>
    <cfRule type="expression" dxfId="17" priority="52">
      <formula>AND(O$2&gt;=$G3,O$2&lt;$H3)</formula>
    </cfRule>
    <cfRule type="expression" dxfId="16" priority="53">
      <formula>AND(ISNUMBER(O3))</formula>
    </cfRule>
  </conditionalFormatting>
  <conditionalFormatting sqref="O60:W60">
    <cfRule type="cellIs" priority="30" stopIfTrue="1" operator="equal">
      <formula>0</formula>
    </cfRule>
    <cfRule type="cellIs" dxfId="15" priority="31" operator="lessThan">
      <formula>$K$61</formula>
    </cfRule>
    <cfRule type="cellIs" dxfId="14" priority="32" operator="greaterThan">
      <formula>$K$61</formula>
    </cfRule>
  </conditionalFormatting>
  <conditionalFormatting sqref="O63:W63">
    <cfRule type="expression" dxfId="13" priority="175">
      <formula>O63=N$63</formula>
    </cfRule>
  </conditionalFormatting>
  <conditionalFormatting sqref="L48:M49 L53:M55">
    <cfRule type="containsBlanks" priority="22" stopIfTrue="1">
      <formula>LEN(TRIM(L48))=0</formula>
    </cfRule>
  </conditionalFormatting>
  <conditionalFormatting sqref="M48:M49 M53:M55">
    <cfRule type="cellIs" dxfId="12" priority="23" operator="greaterThan">
      <formula>#REF!</formula>
    </cfRule>
    <cfRule type="cellIs" dxfId="11" priority="24" operator="lessThan">
      <formula>#REF!</formula>
    </cfRule>
  </conditionalFormatting>
  <conditionalFormatting sqref="L53:M55">
    <cfRule type="cellIs" dxfId="10" priority="25" operator="greaterThan">
      <formula>G53</formula>
    </cfRule>
    <cfRule type="cellIs" dxfId="9" priority="26" operator="lessThan">
      <formula>G53</formula>
    </cfRule>
  </conditionalFormatting>
  <conditionalFormatting sqref="G48:H48 G53:H55">
    <cfRule type="expression" dxfId="8" priority="16">
      <formula>FormulaInCell</formula>
    </cfRule>
  </conditionalFormatting>
  <conditionalFormatting sqref="L50:M52">
    <cfRule type="containsBlanks" priority="8" stopIfTrue="1">
      <formula>LEN(TRIM(L50))=0</formula>
    </cfRule>
  </conditionalFormatting>
  <conditionalFormatting sqref="M50:M52">
    <cfRule type="cellIs" dxfId="7" priority="9" operator="greaterThan">
      <formula>#REF!</formula>
    </cfRule>
    <cfRule type="cellIs" dxfId="6" priority="10" operator="lessThan">
      <formula>#REF!</formula>
    </cfRule>
  </conditionalFormatting>
  <conditionalFormatting sqref="O69:W69 O2:W2 N62:W62">
    <cfRule type="expression" dxfId="5" priority="223">
      <formula>N2&gt;MAX($H$3:$H$41)</formula>
    </cfRule>
  </conditionalFormatting>
  <conditionalFormatting sqref="L48:M49">
    <cfRule type="cellIs" dxfId="4" priority="244" operator="greaterThan">
      <formula>#REF!</formula>
    </cfRule>
    <cfRule type="cellIs" dxfId="3" priority="245" operator="lessThan">
      <formula>#REF!</formula>
    </cfRule>
  </conditionalFormatting>
  <conditionalFormatting sqref="L50:M52">
    <cfRule type="cellIs" dxfId="2" priority="246" operator="greaterThan">
      <formula>G49</formula>
    </cfRule>
    <cfRule type="cellIs" dxfId="1" priority="247" operator="lessThan">
      <formula>G49</formula>
    </cfRule>
  </conditionalFormatting>
  <conditionalFormatting sqref="G50:H50">
    <cfRule type="expression" dxfId="0" priority="1">
      <formula>FormulaInCell</formula>
    </cfRule>
  </conditionalFormatting>
  <dataValidations count="2">
    <dataValidation type="decimal" allowBlank="1" showInputMessage="1" showErrorMessage="1" error="Please enter a valid number." sqref="WSV983051:WTE983054 WIZ983051:WJI983054 VZD983051:VZM983054 VPH983051:VPQ983054 VFL983051:VFU983054 UVP983051:UVY983054 ULT983051:UMC983054 UBX983051:UCG983054 TSB983051:TSK983054 TIF983051:TIO983054 SYJ983051:SYS983054 SON983051:SOW983054 SER983051:SFA983054 RUV983051:RVE983054 RKZ983051:RLI983054 RBD983051:RBM983054 QRH983051:QRQ983054 QHL983051:QHU983054 PXP983051:PXY983054 PNT983051:POC983054 PDX983051:PEG983054 OUB983051:OUK983054 OKF983051:OKO983054 OAJ983051:OAS983054 NQN983051:NQW983054 NGR983051:NHA983054 MWV983051:MXE983054 MMZ983051:MNI983054 MDD983051:MDM983054 LTH983051:LTQ983054 LJL983051:LJU983054 KZP983051:KZY983054 KPT983051:KQC983054 KFX983051:KGG983054 JWB983051:JWK983054 JMF983051:JMO983054 JCJ983051:JCS983054 ISN983051:ISW983054 IIR983051:IJA983054 HYV983051:HZE983054 HOZ983051:HPI983054 HFD983051:HFM983054 GVH983051:GVQ983054 GLL983051:GLU983054 GBP983051:GBY983054 FRT983051:FSC983054 FHX983051:FIG983054 EYB983051:EYK983054 EOF983051:EOO983054 EEJ983051:EES983054 DUN983051:DUW983054 DKR983051:DLA983054 DAV983051:DBE983054 CQZ983051:CRI983054 CHD983051:CHM983054 BXH983051:BXQ983054 BNL983051:BNU983054 BDP983051:BDY983054 ATT983051:AUC983054 AJX983051:AKG983054 AAB983051:AAK983054 QF983051:QO983054 GJ983051:GS983054 WSV917515:WTE917518 WIZ917515:WJI917518 VZD917515:VZM917518 VPH917515:VPQ917518 VFL917515:VFU917518 UVP917515:UVY917518 ULT917515:UMC917518 UBX917515:UCG917518 TSB917515:TSK917518 TIF917515:TIO917518 SYJ917515:SYS917518 SON917515:SOW917518 SER917515:SFA917518 RUV917515:RVE917518 RKZ917515:RLI917518 RBD917515:RBM917518 QRH917515:QRQ917518 QHL917515:QHU917518 PXP917515:PXY917518 PNT917515:POC917518 PDX917515:PEG917518 OUB917515:OUK917518 OKF917515:OKO917518 OAJ917515:OAS917518 NQN917515:NQW917518 NGR917515:NHA917518 MWV917515:MXE917518 MMZ917515:MNI917518 MDD917515:MDM917518 LTH917515:LTQ917518 LJL917515:LJU917518 KZP917515:KZY917518 KPT917515:KQC917518 KFX917515:KGG917518 JWB917515:JWK917518 JMF917515:JMO917518 JCJ917515:JCS917518 ISN917515:ISW917518 IIR917515:IJA917518 HYV917515:HZE917518 HOZ917515:HPI917518 HFD917515:HFM917518 GVH917515:GVQ917518 GLL917515:GLU917518 GBP917515:GBY917518 FRT917515:FSC917518 FHX917515:FIG917518 EYB917515:EYK917518 EOF917515:EOO917518 EEJ917515:EES917518 DUN917515:DUW917518 DKR917515:DLA917518 DAV917515:DBE917518 CQZ917515:CRI917518 CHD917515:CHM917518 BXH917515:BXQ917518 BNL917515:BNU917518 BDP917515:BDY917518 ATT917515:AUC917518 AJX917515:AKG917518 AAB917515:AAK917518 QF917515:QO917518 GJ917515:GS917518 WSV851979:WTE851982 WIZ851979:WJI851982 VZD851979:VZM851982 VPH851979:VPQ851982 VFL851979:VFU851982 UVP851979:UVY851982 ULT851979:UMC851982 UBX851979:UCG851982 TSB851979:TSK851982 TIF851979:TIO851982 SYJ851979:SYS851982 SON851979:SOW851982 SER851979:SFA851982 RUV851979:RVE851982 RKZ851979:RLI851982 RBD851979:RBM851982 QRH851979:QRQ851982 QHL851979:QHU851982 PXP851979:PXY851982 PNT851979:POC851982 PDX851979:PEG851982 OUB851979:OUK851982 OKF851979:OKO851982 OAJ851979:OAS851982 NQN851979:NQW851982 NGR851979:NHA851982 MWV851979:MXE851982 MMZ851979:MNI851982 MDD851979:MDM851982 LTH851979:LTQ851982 LJL851979:LJU851982 KZP851979:KZY851982 KPT851979:KQC851982 KFX851979:KGG851982 JWB851979:JWK851982 JMF851979:JMO851982 JCJ851979:JCS851982 ISN851979:ISW851982 IIR851979:IJA851982 HYV851979:HZE851982 HOZ851979:HPI851982 HFD851979:HFM851982 GVH851979:GVQ851982 GLL851979:GLU851982 GBP851979:GBY851982 FRT851979:FSC851982 FHX851979:FIG851982 EYB851979:EYK851982 EOF851979:EOO851982 EEJ851979:EES851982 DUN851979:DUW851982 DKR851979:DLA851982 DAV851979:DBE851982 CQZ851979:CRI851982 CHD851979:CHM851982 BXH851979:BXQ851982 BNL851979:BNU851982 BDP851979:BDY851982 ATT851979:AUC851982 AJX851979:AKG851982 AAB851979:AAK851982 QF851979:QO851982 GJ851979:GS851982 WSV786443:WTE786446 WIZ786443:WJI786446 VZD786443:VZM786446 VPH786443:VPQ786446 VFL786443:VFU786446 UVP786443:UVY786446 ULT786443:UMC786446 UBX786443:UCG786446 TSB786443:TSK786446 TIF786443:TIO786446 SYJ786443:SYS786446 SON786443:SOW786446 SER786443:SFA786446 RUV786443:RVE786446 RKZ786443:RLI786446 RBD786443:RBM786446 QRH786443:QRQ786446 QHL786443:QHU786446 PXP786443:PXY786446 PNT786443:POC786446 PDX786443:PEG786446 OUB786443:OUK786446 OKF786443:OKO786446 OAJ786443:OAS786446 NQN786443:NQW786446 NGR786443:NHA786446 MWV786443:MXE786446 MMZ786443:MNI786446 MDD786443:MDM786446 LTH786443:LTQ786446 LJL786443:LJU786446 KZP786443:KZY786446 KPT786443:KQC786446 KFX786443:KGG786446 JWB786443:JWK786446 JMF786443:JMO786446 JCJ786443:JCS786446 ISN786443:ISW786446 IIR786443:IJA786446 HYV786443:HZE786446 HOZ786443:HPI786446 HFD786443:HFM786446 GVH786443:GVQ786446 GLL786443:GLU786446 GBP786443:GBY786446 FRT786443:FSC786446 FHX786443:FIG786446 EYB786443:EYK786446 EOF786443:EOO786446 EEJ786443:EES786446 DUN786443:DUW786446 DKR786443:DLA786446 DAV786443:DBE786446 CQZ786443:CRI786446 CHD786443:CHM786446 BXH786443:BXQ786446 BNL786443:BNU786446 BDP786443:BDY786446 ATT786443:AUC786446 AJX786443:AKG786446 AAB786443:AAK786446 QF786443:QO786446 GJ786443:GS786446 WSV720907:WTE720910 WIZ720907:WJI720910 VZD720907:VZM720910 VPH720907:VPQ720910 VFL720907:VFU720910 UVP720907:UVY720910 ULT720907:UMC720910 UBX720907:UCG720910 TSB720907:TSK720910 TIF720907:TIO720910 SYJ720907:SYS720910 SON720907:SOW720910 SER720907:SFA720910 RUV720907:RVE720910 RKZ720907:RLI720910 RBD720907:RBM720910 QRH720907:QRQ720910 QHL720907:QHU720910 PXP720907:PXY720910 PNT720907:POC720910 PDX720907:PEG720910 OUB720907:OUK720910 OKF720907:OKO720910 OAJ720907:OAS720910 NQN720907:NQW720910 NGR720907:NHA720910 MWV720907:MXE720910 MMZ720907:MNI720910 MDD720907:MDM720910 LTH720907:LTQ720910 LJL720907:LJU720910 KZP720907:KZY720910 KPT720907:KQC720910 KFX720907:KGG720910 JWB720907:JWK720910 JMF720907:JMO720910 JCJ720907:JCS720910 ISN720907:ISW720910 IIR720907:IJA720910 HYV720907:HZE720910 HOZ720907:HPI720910 HFD720907:HFM720910 GVH720907:GVQ720910 GLL720907:GLU720910 GBP720907:GBY720910 FRT720907:FSC720910 FHX720907:FIG720910 EYB720907:EYK720910 EOF720907:EOO720910 EEJ720907:EES720910 DUN720907:DUW720910 DKR720907:DLA720910 DAV720907:DBE720910 CQZ720907:CRI720910 CHD720907:CHM720910 BXH720907:BXQ720910 BNL720907:BNU720910 BDP720907:BDY720910 ATT720907:AUC720910 AJX720907:AKG720910 AAB720907:AAK720910 QF720907:QO720910 GJ720907:GS720910 WSV655371:WTE655374 WIZ655371:WJI655374 VZD655371:VZM655374 VPH655371:VPQ655374 VFL655371:VFU655374 UVP655371:UVY655374 ULT655371:UMC655374 UBX655371:UCG655374 TSB655371:TSK655374 TIF655371:TIO655374 SYJ655371:SYS655374 SON655371:SOW655374 SER655371:SFA655374 RUV655371:RVE655374 RKZ655371:RLI655374 RBD655371:RBM655374 QRH655371:QRQ655374 QHL655371:QHU655374 PXP655371:PXY655374 PNT655371:POC655374 PDX655371:PEG655374 OUB655371:OUK655374 OKF655371:OKO655374 OAJ655371:OAS655374 NQN655371:NQW655374 NGR655371:NHA655374 MWV655371:MXE655374 MMZ655371:MNI655374 MDD655371:MDM655374 LTH655371:LTQ655374 LJL655371:LJU655374 KZP655371:KZY655374 KPT655371:KQC655374 KFX655371:KGG655374 JWB655371:JWK655374 JMF655371:JMO655374 JCJ655371:JCS655374 ISN655371:ISW655374 IIR655371:IJA655374 HYV655371:HZE655374 HOZ655371:HPI655374 HFD655371:HFM655374 GVH655371:GVQ655374 GLL655371:GLU655374 GBP655371:GBY655374 FRT655371:FSC655374 FHX655371:FIG655374 EYB655371:EYK655374 EOF655371:EOO655374 EEJ655371:EES655374 DUN655371:DUW655374 DKR655371:DLA655374 DAV655371:DBE655374 CQZ655371:CRI655374 CHD655371:CHM655374 BXH655371:BXQ655374 BNL655371:BNU655374 BDP655371:BDY655374 ATT655371:AUC655374 AJX655371:AKG655374 AAB655371:AAK655374 QF655371:QO655374 GJ655371:GS655374 WSV589835:WTE589838 WIZ589835:WJI589838 VZD589835:VZM589838 VPH589835:VPQ589838 VFL589835:VFU589838 UVP589835:UVY589838 ULT589835:UMC589838 UBX589835:UCG589838 TSB589835:TSK589838 TIF589835:TIO589838 SYJ589835:SYS589838 SON589835:SOW589838 SER589835:SFA589838 RUV589835:RVE589838 RKZ589835:RLI589838 RBD589835:RBM589838 QRH589835:QRQ589838 QHL589835:QHU589838 PXP589835:PXY589838 PNT589835:POC589838 PDX589835:PEG589838 OUB589835:OUK589838 OKF589835:OKO589838 OAJ589835:OAS589838 NQN589835:NQW589838 NGR589835:NHA589838 MWV589835:MXE589838 MMZ589835:MNI589838 MDD589835:MDM589838 LTH589835:LTQ589838 LJL589835:LJU589838 KZP589835:KZY589838 KPT589835:KQC589838 KFX589835:KGG589838 JWB589835:JWK589838 JMF589835:JMO589838 JCJ589835:JCS589838 ISN589835:ISW589838 IIR589835:IJA589838 HYV589835:HZE589838 HOZ589835:HPI589838 HFD589835:HFM589838 GVH589835:GVQ589838 GLL589835:GLU589838 GBP589835:GBY589838 FRT589835:FSC589838 FHX589835:FIG589838 EYB589835:EYK589838 EOF589835:EOO589838 EEJ589835:EES589838 DUN589835:DUW589838 DKR589835:DLA589838 DAV589835:DBE589838 CQZ589835:CRI589838 CHD589835:CHM589838 BXH589835:BXQ589838 BNL589835:BNU589838 BDP589835:BDY589838 ATT589835:AUC589838 AJX589835:AKG589838 AAB589835:AAK589838 QF589835:QO589838 GJ589835:GS589838 WSV524299:WTE524302 WIZ524299:WJI524302 VZD524299:VZM524302 VPH524299:VPQ524302 VFL524299:VFU524302 UVP524299:UVY524302 ULT524299:UMC524302 UBX524299:UCG524302 TSB524299:TSK524302 TIF524299:TIO524302 SYJ524299:SYS524302 SON524299:SOW524302 SER524299:SFA524302 RUV524299:RVE524302 RKZ524299:RLI524302 RBD524299:RBM524302 QRH524299:QRQ524302 QHL524299:QHU524302 PXP524299:PXY524302 PNT524299:POC524302 PDX524299:PEG524302 OUB524299:OUK524302 OKF524299:OKO524302 OAJ524299:OAS524302 NQN524299:NQW524302 NGR524299:NHA524302 MWV524299:MXE524302 MMZ524299:MNI524302 MDD524299:MDM524302 LTH524299:LTQ524302 LJL524299:LJU524302 KZP524299:KZY524302 KPT524299:KQC524302 KFX524299:KGG524302 JWB524299:JWK524302 JMF524299:JMO524302 JCJ524299:JCS524302 ISN524299:ISW524302 IIR524299:IJA524302 HYV524299:HZE524302 HOZ524299:HPI524302 HFD524299:HFM524302 GVH524299:GVQ524302 GLL524299:GLU524302 GBP524299:GBY524302 FRT524299:FSC524302 FHX524299:FIG524302 EYB524299:EYK524302 EOF524299:EOO524302 EEJ524299:EES524302 DUN524299:DUW524302 DKR524299:DLA524302 DAV524299:DBE524302 CQZ524299:CRI524302 CHD524299:CHM524302 BXH524299:BXQ524302 BNL524299:BNU524302 BDP524299:BDY524302 ATT524299:AUC524302 AJX524299:AKG524302 AAB524299:AAK524302 QF524299:QO524302 GJ524299:GS524302 WSV458763:WTE458766 WIZ458763:WJI458766 VZD458763:VZM458766 VPH458763:VPQ458766 VFL458763:VFU458766 UVP458763:UVY458766 ULT458763:UMC458766 UBX458763:UCG458766 TSB458763:TSK458766 TIF458763:TIO458766 SYJ458763:SYS458766 SON458763:SOW458766 SER458763:SFA458766 RUV458763:RVE458766 RKZ458763:RLI458766 RBD458763:RBM458766 QRH458763:QRQ458766 QHL458763:QHU458766 PXP458763:PXY458766 PNT458763:POC458766 PDX458763:PEG458766 OUB458763:OUK458766 OKF458763:OKO458766 OAJ458763:OAS458766 NQN458763:NQW458766 NGR458763:NHA458766 MWV458763:MXE458766 MMZ458763:MNI458766 MDD458763:MDM458766 LTH458763:LTQ458766 LJL458763:LJU458766 KZP458763:KZY458766 KPT458763:KQC458766 KFX458763:KGG458766 JWB458763:JWK458766 JMF458763:JMO458766 JCJ458763:JCS458766 ISN458763:ISW458766 IIR458763:IJA458766 HYV458763:HZE458766 HOZ458763:HPI458766 HFD458763:HFM458766 GVH458763:GVQ458766 GLL458763:GLU458766 GBP458763:GBY458766 FRT458763:FSC458766 FHX458763:FIG458766 EYB458763:EYK458766 EOF458763:EOO458766 EEJ458763:EES458766 DUN458763:DUW458766 DKR458763:DLA458766 DAV458763:DBE458766 CQZ458763:CRI458766 CHD458763:CHM458766 BXH458763:BXQ458766 BNL458763:BNU458766 BDP458763:BDY458766 ATT458763:AUC458766 AJX458763:AKG458766 AAB458763:AAK458766 QF458763:QO458766 GJ458763:GS458766 WSV393227:WTE393230 WIZ393227:WJI393230 VZD393227:VZM393230 VPH393227:VPQ393230 VFL393227:VFU393230 UVP393227:UVY393230 ULT393227:UMC393230 UBX393227:UCG393230 TSB393227:TSK393230 TIF393227:TIO393230 SYJ393227:SYS393230 SON393227:SOW393230 SER393227:SFA393230 RUV393227:RVE393230 RKZ393227:RLI393230 RBD393227:RBM393230 QRH393227:QRQ393230 QHL393227:QHU393230 PXP393227:PXY393230 PNT393227:POC393230 PDX393227:PEG393230 OUB393227:OUK393230 OKF393227:OKO393230 OAJ393227:OAS393230 NQN393227:NQW393230 NGR393227:NHA393230 MWV393227:MXE393230 MMZ393227:MNI393230 MDD393227:MDM393230 LTH393227:LTQ393230 LJL393227:LJU393230 KZP393227:KZY393230 KPT393227:KQC393230 KFX393227:KGG393230 JWB393227:JWK393230 JMF393227:JMO393230 JCJ393227:JCS393230 ISN393227:ISW393230 IIR393227:IJA393230 HYV393227:HZE393230 HOZ393227:HPI393230 HFD393227:HFM393230 GVH393227:GVQ393230 GLL393227:GLU393230 GBP393227:GBY393230 FRT393227:FSC393230 FHX393227:FIG393230 EYB393227:EYK393230 EOF393227:EOO393230 EEJ393227:EES393230 DUN393227:DUW393230 DKR393227:DLA393230 DAV393227:DBE393230 CQZ393227:CRI393230 CHD393227:CHM393230 BXH393227:BXQ393230 BNL393227:BNU393230 BDP393227:BDY393230 ATT393227:AUC393230 AJX393227:AKG393230 AAB393227:AAK393230 QF393227:QO393230 GJ393227:GS393230 WSV327691:WTE327694 WIZ327691:WJI327694 VZD327691:VZM327694 VPH327691:VPQ327694 VFL327691:VFU327694 UVP327691:UVY327694 ULT327691:UMC327694 UBX327691:UCG327694 TSB327691:TSK327694 TIF327691:TIO327694 SYJ327691:SYS327694 SON327691:SOW327694 SER327691:SFA327694 RUV327691:RVE327694 RKZ327691:RLI327694 RBD327691:RBM327694 QRH327691:QRQ327694 QHL327691:QHU327694 PXP327691:PXY327694 PNT327691:POC327694 PDX327691:PEG327694 OUB327691:OUK327694 OKF327691:OKO327694 OAJ327691:OAS327694 NQN327691:NQW327694 NGR327691:NHA327694 MWV327691:MXE327694 MMZ327691:MNI327694 MDD327691:MDM327694 LTH327691:LTQ327694 LJL327691:LJU327694 KZP327691:KZY327694 KPT327691:KQC327694 KFX327691:KGG327694 JWB327691:JWK327694 JMF327691:JMO327694 JCJ327691:JCS327694 ISN327691:ISW327694 IIR327691:IJA327694 HYV327691:HZE327694 HOZ327691:HPI327694 HFD327691:HFM327694 GVH327691:GVQ327694 GLL327691:GLU327694 GBP327691:GBY327694 FRT327691:FSC327694 FHX327691:FIG327694 EYB327691:EYK327694 EOF327691:EOO327694 EEJ327691:EES327694 DUN327691:DUW327694 DKR327691:DLA327694 DAV327691:DBE327694 CQZ327691:CRI327694 CHD327691:CHM327694 BXH327691:BXQ327694 BNL327691:BNU327694 BDP327691:BDY327694 ATT327691:AUC327694 AJX327691:AKG327694 AAB327691:AAK327694 QF327691:QO327694 GJ327691:GS327694 WSV262155:WTE262158 WIZ262155:WJI262158 VZD262155:VZM262158 VPH262155:VPQ262158 VFL262155:VFU262158 UVP262155:UVY262158 ULT262155:UMC262158 UBX262155:UCG262158 TSB262155:TSK262158 TIF262155:TIO262158 SYJ262155:SYS262158 SON262155:SOW262158 SER262155:SFA262158 RUV262155:RVE262158 RKZ262155:RLI262158 RBD262155:RBM262158 QRH262155:QRQ262158 QHL262155:QHU262158 PXP262155:PXY262158 PNT262155:POC262158 PDX262155:PEG262158 OUB262155:OUK262158 OKF262155:OKO262158 OAJ262155:OAS262158 NQN262155:NQW262158 NGR262155:NHA262158 MWV262155:MXE262158 MMZ262155:MNI262158 MDD262155:MDM262158 LTH262155:LTQ262158 LJL262155:LJU262158 KZP262155:KZY262158 KPT262155:KQC262158 KFX262155:KGG262158 JWB262155:JWK262158 JMF262155:JMO262158 JCJ262155:JCS262158 ISN262155:ISW262158 IIR262155:IJA262158 HYV262155:HZE262158 HOZ262155:HPI262158 HFD262155:HFM262158 GVH262155:GVQ262158 GLL262155:GLU262158 GBP262155:GBY262158 FRT262155:FSC262158 FHX262155:FIG262158 EYB262155:EYK262158 EOF262155:EOO262158 EEJ262155:EES262158 DUN262155:DUW262158 DKR262155:DLA262158 DAV262155:DBE262158 CQZ262155:CRI262158 CHD262155:CHM262158 BXH262155:BXQ262158 BNL262155:BNU262158 BDP262155:BDY262158 ATT262155:AUC262158 AJX262155:AKG262158 AAB262155:AAK262158 QF262155:QO262158 GJ262155:GS262158 WSV196619:WTE196622 WIZ196619:WJI196622 VZD196619:VZM196622 VPH196619:VPQ196622 VFL196619:VFU196622 UVP196619:UVY196622 ULT196619:UMC196622 UBX196619:UCG196622 TSB196619:TSK196622 TIF196619:TIO196622 SYJ196619:SYS196622 SON196619:SOW196622 SER196619:SFA196622 RUV196619:RVE196622 RKZ196619:RLI196622 RBD196619:RBM196622 QRH196619:QRQ196622 QHL196619:QHU196622 PXP196619:PXY196622 PNT196619:POC196622 PDX196619:PEG196622 OUB196619:OUK196622 OKF196619:OKO196622 OAJ196619:OAS196622 NQN196619:NQW196622 NGR196619:NHA196622 MWV196619:MXE196622 MMZ196619:MNI196622 MDD196619:MDM196622 LTH196619:LTQ196622 LJL196619:LJU196622 KZP196619:KZY196622 KPT196619:KQC196622 KFX196619:KGG196622 JWB196619:JWK196622 JMF196619:JMO196622 JCJ196619:JCS196622 ISN196619:ISW196622 IIR196619:IJA196622 HYV196619:HZE196622 HOZ196619:HPI196622 HFD196619:HFM196622 GVH196619:GVQ196622 GLL196619:GLU196622 GBP196619:GBY196622 FRT196619:FSC196622 FHX196619:FIG196622 EYB196619:EYK196622 EOF196619:EOO196622 EEJ196619:EES196622 DUN196619:DUW196622 DKR196619:DLA196622 DAV196619:DBE196622 CQZ196619:CRI196622 CHD196619:CHM196622 BXH196619:BXQ196622 BNL196619:BNU196622 BDP196619:BDY196622 ATT196619:AUC196622 AJX196619:AKG196622 AAB196619:AAK196622 QF196619:QO196622 GJ196619:GS196622 WSV131083:WTE131086 WIZ131083:WJI131086 VZD131083:VZM131086 VPH131083:VPQ131086 VFL131083:VFU131086 UVP131083:UVY131086 ULT131083:UMC131086 UBX131083:UCG131086 TSB131083:TSK131086 TIF131083:TIO131086 SYJ131083:SYS131086 SON131083:SOW131086 SER131083:SFA131086 RUV131083:RVE131086 RKZ131083:RLI131086 RBD131083:RBM131086 QRH131083:QRQ131086 QHL131083:QHU131086 PXP131083:PXY131086 PNT131083:POC131086 PDX131083:PEG131086 OUB131083:OUK131086 OKF131083:OKO131086 OAJ131083:OAS131086 NQN131083:NQW131086 NGR131083:NHA131086 MWV131083:MXE131086 MMZ131083:MNI131086 MDD131083:MDM131086 LTH131083:LTQ131086 LJL131083:LJU131086 KZP131083:KZY131086 KPT131083:KQC131086 KFX131083:KGG131086 JWB131083:JWK131086 JMF131083:JMO131086 JCJ131083:JCS131086 ISN131083:ISW131086 IIR131083:IJA131086 HYV131083:HZE131086 HOZ131083:HPI131086 HFD131083:HFM131086 GVH131083:GVQ131086 GLL131083:GLU131086 GBP131083:GBY131086 FRT131083:FSC131086 FHX131083:FIG131086 EYB131083:EYK131086 EOF131083:EOO131086 EEJ131083:EES131086 DUN131083:DUW131086 DKR131083:DLA131086 DAV131083:DBE131086 CQZ131083:CRI131086 CHD131083:CHM131086 BXH131083:BXQ131086 BNL131083:BNU131086 BDP131083:BDY131086 ATT131083:AUC131086 AJX131083:AKG131086 AAB131083:AAK131086 QF131083:QO131086 GJ131083:GS131086 WSV65547:WTE65550 WIZ65547:WJI65550 VZD65547:VZM65550 VPH65547:VPQ65550 VFL65547:VFU65550 UVP65547:UVY65550 ULT65547:UMC65550 UBX65547:UCG65550 TSB65547:TSK65550 TIF65547:TIO65550 SYJ65547:SYS65550 SON65547:SOW65550 SER65547:SFA65550 RUV65547:RVE65550 RKZ65547:RLI65550 RBD65547:RBM65550 QRH65547:QRQ65550 QHL65547:QHU65550 PXP65547:PXY65550 PNT65547:POC65550 PDX65547:PEG65550 OUB65547:OUK65550 OKF65547:OKO65550 OAJ65547:OAS65550 NQN65547:NQW65550 NGR65547:NHA65550 MWV65547:MXE65550 MMZ65547:MNI65550 MDD65547:MDM65550 LTH65547:LTQ65550 LJL65547:LJU65550 KZP65547:KZY65550 KPT65547:KQC65550 KFX65547:KGG65550 JWB65547:JWK65550 JMF65547:JMO65550 JCJ65547:JCS65550 ISN65547:ISW65550 IIR65547:IJA65550 HYV65547:HZE65550 HOZ65547:HPI65550 HFD65547:HFM65550 GVH65547:GVQ65550 GLL65547:GLU65550 GBP65547:GBY65550 FRT65547:FSC65550 FHX65547:FIG65550 EYB65547:EYK65550 EOF65547:EOO65550 EEJ65547:EES65550 DUN65547:DUW65550 DKR65547:DLA65550 DAV65547:DBE65550 CQZ65547:CRI65550 CHD65547:CHM65550 BXH65547:BXQ65550 BNL65547:BNU65550 BDP65547:BDY65550 ATT65547:AUC65550 AJX65547:AKG65550 AAB65547:AAK65550 QF65547:QO65550 GJ65547:GS65550 O983051:W983054 O917515:W917518 O851979:W851982 O786443:W786446 O720907:W720910 O655371:W655374 O589835:W589838 O524299:W524302 O458763:W458766 O393227:W393230 O327691:W327694 O262155:W262158 O196619:W196622 O131083:W131086 O65547:W65550">
      <formula1>-100000000</formula1>
      <formula2>100000000</formula2>
    </dataValidation>
    <dataValidation type="list" allowBlank="1" showInputMessage="1" showErrorMessage="1" sqref="G4:G8 H3:H28 G11:G28 G29:H59">
      <formula1>$O$2:$W$2</formula1>
    </dataValidation>
  </dataValidations>
  <pageMargins left="0.75" right="0.75" top="1" bottom="1" header="0.5" footer="0.5"/>
  <pageSetup scale="33" orientation="landscape" r:id="rId2"/>
  <headerFooter alignWithMargins="0">
    <oddHeader>&amp;A</oddHeader>
    <oddFooter>Page &amp;P of &amp;N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6"/>
  <sheetViews>
    <sheetView zoomScaleNormal="100" workbookViewId="0">
      <selection activeCell="Q19" sqref="Q19"/>
    </sheetView>
  </sheetViews>
  <sheetFormatPr defaultRowHeight="15" x14ac:dyDescent="0.25"/>
  <cols>
    <col min="1" max="8" width="10" customWidth="1"/>
  </cols>
  <sheetData>
    <row r="1" spans="1:19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4" spans="1:19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</row>
    <row r="5" spans="1:19" x14ac:dyDescent="0.25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</row>
    <row r="6" spans="1:19" x14ac:dyDescent="0.25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1:19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</row>
    <row r="8" spans="1:19" x14ac:dyDescent="0.25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19" x14ac:dyDescent="0.25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</row>
    <row r="10" spans="1:19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</row>
    <row r="11" spans="1:19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</row>
    <row r="14" spans="1:19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19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</row>
    <row r="16" spans="1:19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</row>
    <row r="17" spans="1:19" x14ac:dyDescent="0.25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</row>
    <row r="18" spans="1:19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</row>
    <row r="19" spans="1:19" x14ac:dyDescent="0.25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</row>
    <row r="20" spans="1:19" x14ac:dyDescent="0.25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</row>
    <row r="21" spans="1:19" x14ac:dyDescent="0.25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</row>
    <row r="22" spans="1:19" x14ac:dyDescent="0.25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</row>
    <row r="23" spans="1:19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</row>
    <row r="24" spans="1:19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</row>
    <row r="25" spans="1:19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</row>
    <row r="26" spans="1:19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</row>
    <row r="27" spans="1:19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</row>
    <row r="28" spans="1:19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</row>
    <row r="29" spans="1:19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</row>
    <row r="30" spans="1:19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</row>
    <row r="31" spans="1:19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</row>
    <row r="32" spans="1:19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1:19" x14ac:dyDescent="0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</row>
    <row r="34" spans="1:19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</row>
    <row r="35" spans="1:19" x14ac:dyDescent="0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</row>
    <row r="36" spans="1:19" x14ac:dyDescent="0.2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</row>
    <row r="37" spans="1:19" x14ac:dyDescent="0.2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</row>
    <row r="38" spans="1:19" x14ac:dyDescent="0.2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</row>
    <row r="39" spans="1:19" x14ac:dyDescent="0.25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</row>
    <row r="40" spans="1:19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</row>
    <row r="41" spans="1:19" x14ac:dyDescent="0.2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</row>
    <row r="42" spans="1:19" x14ac:dyDescent="0.25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</row>
    <row r="43" spans="1:19" x14ac:dyDescent="0.25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</row>
    <row r="44" spans="1:19" x14ac:dyDescent="0.25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</row>
    <row r="45" spans="1:19" x14ac:dyDescent="0.25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</row>
    <row r="46" spans="1:19" x14ac:dyDescent="0.25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</row>
  </sheetData>
  <sheetProtection selectLockedCells="1"/>
  <customSheetViews>
    <customSheetView guid="{5C9AFCBE-E352-4226-8750-F441413CCE21}">
      <selection activeCell="N19" sqref="N19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Project Tracking</vt:lpstr>
      <vt:lpstr>Graph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Cunha</dc:creator>
  <cp:lastModifiedBy>Rui Ganhoto</cp:lastModifiedBy>
  <dcterms:created xsi:type="dcterms:W3CDTF">2009-04-24T00:02:24Z</dcterms:created>
  <dcterms:modified xsi:type="dcterms:W3CDTF">2013-05-26T08:01:22Z</dcterms:modified>
</cp:coreProperties>
</file>