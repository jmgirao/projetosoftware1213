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F:\Dropbox\ISEC\MIS\1º ANO\Projecto de Software\Repository\Docs\Project Management\"/>
    </mc:Choice>
  </mc:AlternateContent>
  <bookViews>
    <workbookView xWindow="0" yWindow="0" windowWidth="15345" windowHeight="4635" activeTab="1"/>
  </bookViews>
  <sheets>
    <sheet name="Information" sheetId="1" r:id="rId1"/>
    <sheet name="Project Tracking" sheetId="2" r:id="rId2"/>
    <sheet name="Graph" sheetId="3" r:id="rId3"/>
  </sheets>
  <definedNames>
    <definedName name="FormulaInCell">GET.CELL(48,INDIRECT("rc",FALSE))</definedName>
    <definedName name="HasFormula">GET.CELL(48,OFFSET(INDIRECT("rc",FALSE),0,1))</definedName>
  </definedNames>
  <calcPr calcId="152511"/>
  <customWorkbookViews>
    <customWorkbookView name="João Cunha - Personal View" guid="{5C9AFCBE-E352-4226-8750-F441413CCE21}" mergeInterval="0" personalView="1" maximized="1" xWindow="1" yWindow="1" windowWidth="1276" windowHeight="579" activeSheetId="2"/>
  </customWorkbookViews>
</workbook>
</file>

<file path=xl/calcChain.xml><?xml version="1.0" encoding="utf-8"?>
<calcChain xmlns="http://schemas.openxmlformats.org/spreadsheetml/2006/main">
  <c r="P40" i="2" l="1"/>
  <c r="Q40" i="2" s="1"/>
  <c r="R40" i="2" s="1"/>
  <c r="S40" i="2" s="1"/>
  <c r="T40" i="2" s="1"/>
  <c r="U40" i="2" s="1"/>
  <c r="V40" i="2" s="1"/>
  <c r="W40" i="2" s="1"/>
  <c r="P41" i="2"/>
  <c r="Q41" i="2" s="1"/>
  <c r="R41" i="2" s="1"/>
  <c r="S41" i="2" s="1"/>
  <c r="T41" i="2" s="1"/>
  <c r="U41" i="2" s="1"/>
  <c r="V41" i="2" s="1"/>
  <c r="W41" i="2" s="1"/>
  <c r="P42" i="2"/>
  <c r="P43" i="2"/>
  <c r="Q43" i="2" s="1"/>
  <c r="P44" i="2"/>
  <c r="Q44" i="2" s="1"/>
  <c r="R44" i="2" s="1"/>
  <c r="S44" i="2" s="1"/>
  <c r="T44" i="2" s="1"/>
  <c r="U44" i="2" s="1"/>
  <c r="V44" i="2" s="1"/>
  <c r="W44" i="2" s="1"/>
  <c r="P45" i="2"/>
  <c r="Q45" i="2" s="1"/>
  <c r="R45" i="2" s="1"/>
  <c r="S45" i="2" s="1"/>
  <c r="T45" i="2" s="1"/>
  <c r="U45" i="2" s="1"/>
  <c r="V45" i="2" s="1"/>
  <c r="W45" i="2" s="1"/>
  <c r="P46" i="2"/>
  <c r="P47" i="2"/>
  <c r="Q47" i="2" s="1"/>
  <c r="P48" i="2"/>
  <c r="Q48" i="2" s="1"/>
  <c r="R48" i="2" s="1"/>
  <c r="S48" i="2" s="1"/>
  <c r="T48" i="2" s="1"/>
  <c r="U48" i="2" s="1"/>
  <c r="V48" i="2" s="1"/>
  <c r="W48" i="2" s="1"/>
  <c r="P49" i="2"/>
  <c r="Q49" i="2" l="1"/>
  <c r="R49" i="2" s="1"/>
  <c r="S49" i="2" s="1"/>
  <c r="T49" i="2" s="1"/>
  <c r="U49" i="2" s="1"/>
  <c r="V49" i="2" s="1"/>
  <c r="W49" i="2" s="1"/>
  <c r="L41" i="2" a="1"/>
  <c r="L41" i="2" s="1"/>
  <c r="L45" i="2" a="1"/>
  <c r="L45" i="2" s="1"/>
  <c r="M49" i="2"/>
  <c r="M45" i="2"/>
  <c r="M41" i="2"/>
  <c r="L48" i="2" a="1"/>
  <c r="L48" i="2" s="1"/>
  <c r="L40" i="2" a="1"/>
  <c r="L40" i="2" s="1"/>
  <c r="R47" i="2"/>
  <c r="S47" i="2" s="1"/>
  <c r="T47" i="2" s="1"/>
  <c r="U47" i="2" s="1"/>
  <c r="V47" i="2" s="1"/>
  <c r="W47" i="2" s="1"/>
  <c r="N47" i="2"/>
  <c r="R43" i="2"/>
  <c r="S43" i="2" s="1"/>
  <c r="T43" i="2" s="1"/>
  <c r="U43" i="2" s="1"/>
  <c r="V43" i="2" s="1"/>
  <c r="W43" i="2" s="1"/>
  <c r="L44" i="2" a="1"/>
  <c r="L44" i="2" s="1"/>
  <c r="N48" i="2"/>
  <c r="N44" i="2"/>
  <c r="N40" i="2"/>
  <c r="M48" i="2"/>
  <c r="M44" i="2"/>
  <c r="M40" i="2"/>
  <c r="N49" i="2"/>
  <c r="Q46" i="2"/>
  <c r="N45" i="2"/>
  <c r="Q42" i="2"/>
  <c r="N41" i="2"/>
  <c r="O61" i="2"/>
  <c r="M5" i="2"/>
  <c r="M6" i="2"/>
  <c r="M7" i="2"/>
  <c r="M8" i="2"/>
  <c r="M9" i="2"/>
  <c r="M10" i="2"/>
  <c r="M11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L17" i="2" a="1"/>
  <c r="L17" i="2" s="1"/>
  <c r="L18" i="2" a="1"/>
  <c r="L18" i="2" s="1"/>
  <c r="L19" i="2" a="1"/>
  <c r="L19" i="2" s="1"/>
  <c r="L20" i="2" a="1"/>
  <c r="L20" i="2" s="1"/>
  <c r="L21" i="2" a="1"/>
  <c r="L21" i="2" s="1"/>
  <c r="L22" i="2" a="1"/>
  <c r="L22" i="2" s="1"/>
  <c r="L23" i="2" a="1"/>
  <c r="L23" i="2" s="1"/>
  <c r="L24" i="2" a="1"/>
  <c r="L24" i="2" s="1"/>
  <c r="L25" i="2" a="1"/>
  <c r="L25" i="2" s="1"/>
  <c r="L26" i="2" a="1"/>
  <c r="L26" i="2" s="1"/>
  <c r="L27" i="2" a="1"/>
  <c r="L27" i="2" s="1"/>
  <c r="L28" i="2" a="1"/>
  <c r="L28" i="2" s="1"/>
  <c r="L29" i="2" a="1"/>
  <c r="L29" i="2" s="1"/>
  <c r="L30" i="2" a="1"/>
  <c r="L30" i="2" s="1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L49" i="2" l="1" a="1"/>
  <c r="L49" i="2" s="1"/>
  <c r="L47" i="2" a="1"/>
  <c r="L47" i="2" s="1"/>
  <c r="N43" i="2"/>
  <c r="R42" i="2"/>
  <c r="S42" i="2" s="1"/>
  <c r="T42" i="2" s="1"/>
  <c r="U42" i="2" s="1"/>
  <c r="V42" i="2" s="1"/>
  <c r="W42" i="2" s="1"/>
  <c r="R46" i="2"/>
  <c r="M47" i="2"/>
  <c r="M42" i="2"/>
  <c r="N42" i="2"/>
  <c r="L43" i="2" a="1"/>
  <c r="L43" i="2" s="1"/>
  <c r="M43" i="2"/>
  <c r="N7" i="2"/>
  <c r="Q3" i="2"/>
  <c r="N4" i="2"/>
  <c r="N5" i="2"/>
  <c r="N6" i="2"/>
  <c r="N8" i="2"/>
  <c r="N9" i="2"/>
  <c r="N10" i="2"/>
  <c r="N11" i="2"/>
  <c r="L5" i="2" a="1"/>
  <c r="L5" i="2" s="1"/>
  <c r="L8" i="2" a="1"/>
  <c r="L8" i="2" s="1"/>
  <c r="L9" i="2" a="1"/>
  <c r="L9" i="2" s="1"/>
  <c r="L10" i="2" a="1"/>
  <c r="L10" i="2" s="1"/>
  <c r="L11" i="2" a="1"/>
  <c r="L11" i="2" s="1"/>
  <c r="L42" i="2" l="1" a="1"/>
  <c r="L42" i="2" s="1"/>
  <c r="S46" i="2"/>
  <c r="R3" i="2"/>
  <c r="S3" i="2" s="1"/>
  <c r="O56" i="2"/>
  <c r="W52" i="2"/>
  <c r="O50" i="2"/>
  <c r="S12" i="2"/>
  <c r="T12" i="2" s="1"/>
  <c r="U12" i="2" s="1"/>
  <c r="V12" i="2" s="1"/>
  <c r="S13" i="2"/>
  <c r="T13" i="2" s="1"/>
  <c r="U13" i="2" s="1"/>
  <c r="V13" i="2" s="1"/>
  <c r="S15" i="2"/>
  <c r="T15" i="2" s="1"/>
  <c r="U15" i="2" s="1"/>
  <c r="V15" i="2" s="1"/>
  <c r="W15" i="2" s="1"/>
  <c r="S16" i="2"/>
  <c r="T16" i="2" s="1"/>
  <c r="U16" i="2" s="1"/>
  <c r="V16" i="2" s="1"/>
  <c r="W16" i="2" s="1"/>
  <c r="O2" i="2"/>
  <c r="P15" i="2"/>
  <c r="P16" i="2"/>
  <c r="P31" i="2"/>
  <c r="P32" i="2"/>
  <c r="P33" i="2"/>
  <c r="P34" i="2"/>
  <c r="P35" i="2"/>
  <c r="P36" i="2"/>
  <c r="P37" i="2"/>
  <c r="Q37" i="2" s="1"/>
  <c r="R37" i="2" s="1"/>
  <c r="S37" i="2" s="1"/>
  <c r="T37" i="2" s="1"/>
  <c r="U37" i="2" s="1"/>
  <c r="V37" i="2" s="1"/>
  <c r="O67" i="2"/>
  <c r="P67" i="2"/>
  <c r="Q67" i="2"/>
  <c r="R67" i="2"/>
  <c r="S67" i="2"/>
  <c r="T67" i="2"/>
  <c r="U67" i="2"/>
  <c r="V67" i="2"/>
  <c r="W67" i="2"/>
  <c r="T46" i="2" l="1"/>
  <c r="Q32" i="2"/>
  <c r="R32" i="2" s="1"/>
  <c r="S32" i="2" s="1"/>
  <c r="T32" i="2" s="1"/>
  <c r="U32" i="2" s="1"/>
  <c r="V32" i="2" s="1"/>
  <c r="W32" i="2" s="1"/>
  <c r="M16" i="2"/>
  <c r="Q15" i="2"/>
  <c r="M15" i="2"/>
  <c r="Q36" i="2"/>
  <c r="R36" i="2" s="1"/>
  <c r="S36" i="2" s="1"/>
  <c r="T36" i="2" s="1"/>
  <c r="U36" i="2" s="1"/>
  <c r="V36" i="2" s="1"/>
  <c r="W36" i="2" s="1"/>
  <c r="L36" i="2" a="1"/>
  <c r="L36" i="2" s="1"/>
  <c r="S31" i="2"/>
  <c r="T31" i="2" s="1"/>
  <c r="U31" i="2" s="1"/>
  <c r="V31" i="2" s="1"/>
  <c r="W31" i="2" s="1"/>
  <c r="Q35" i="2"/>
  <c r="R35" i="2" s="1"/>
  <c r="S35" i="2" s="1"/>
  <c r="T35" i="2" s="1"/>
  <c r="U35" i="2" s="1"/>
  <c r="V35" i="2" s="1"/>
  <c r="W35" i="2" s="1"/>
  <c r="L7" i="2" a="1"/>
  <c r="L7" i="2" s="1"/>
  <c r="M4" i="2"/>
  <c r="L6" i="2" a="1"/>
  <c r="L6" i="2" s="1"/>
  <c r="L4" i="2" a="1"/>
  <c r="L4" i="2" s="1"/>
  <c r="Q33" i="2"/>
  <c r="R33" i="2" s="1"/>
  <c r="S33" i="2" s="1"/>
  <c r="T33" i="2" s="1"/>
  <c r="U33" i="2" s="1"/>
  <c r="V33" i="2" s="1"/>
  <c r="W33" i="2" s="1"/>
  <c r="L33" i="2" a="1"/>
  <c r="L33" i="2" s="1"/>
  <c r="Q34" i="2"/>
  <c r="R34" i="2" s="1"/>
  <c r="S34" i="2" s="1"/>
  <c r="T34" i="2" s="1"/>
  <c r="U34" i="2" s="1"/>
  <c r="V34" i="2" s="1"/>
  <c r="W34" i="2" s="1"/>
  <c r="N52" i="2"/>
  <c r="T14" i="2"/>
  <c r="T3" i="2"/>
  <c r="W12" i="2"/>
  <c r="M12" i="2" s="1"/>
  <c r="W37" i="2"/>
  <c r="M37" i="2" s="1"/>
  <c r="W13" i="2"/>
  <c r="M13" i="2" s="1"/>
  <c r="N67" i="2"/>
  <c r="R39" i="2"/>
  <c r="K53" i="2"/>
  <c r="L34" i="2" l="1" a="1"/>
  <c r="L34" i="2" s="1"/>
  <c r="M35" i="2"/>
  <c r="M33" i="2"/>
  <c r="L35" i="2" a="1"/>
  <c r="L35" i="2" s="1"/>
  <c r="M31" i="2"/>
  <c r="L31" i="2" a="1"/>
  <c r="L31" i="2" s="1"/>
  <c r="U46" i="2"/>
  <c r="L32" i="2" a="1"/>
  <c r="L32" i="2" s="1"/>
  <c r="L37" i="2" a="1"/>
  <c r="L37" i="2" s="1"/>
  <c r="M32" i="2"/>
  <c r="M34" i="2"/>
  <c r="M36" i="2"/>
  <c r="S39" i="2"/>
  <c r="T39" i="2" s="1"/>
  <c r="U39" i="2" s="1"/>
  <c r="V39" i="2" s="1"/>
  <c r="W39" i="2" s="1"/>
  <c r="U14" i="2"/>
  <c r="U3" i="2"/>
  <c r="N39" i="2" l="1"/>
  <c r="V46" i="2"/>
  <c r="W46" i="2" s="1"/>
  <c r="N46" i="2" s="1"/>
  <c r="M39" i="2"/>
  <c r="L39" i="2" a="1"/>
  <c r="L39" i="2" s="1"/>
  <c r="V14" i="2"/>
  <c r="V3" i="2"/>
  <c r="M46" i="2" l="1"/>
  <c r="L46" i="2" a="1"/>
  <c r="L46" i="2" s="1"/>
  <c r="W14" i="2"/>
  <c r="M14" i="2" s="1"/>
  <c r="W3" i="2"/>
  <c r="N3" i="2" s="1"/>
  <c r="O60" i="2"/>
  <c r="O66" i="2"/>
  <c r="P50" i="2"/>
  <c r="O55" i="2" l="1"/>
  <c r="P56" i="2"/>
  <c r="Q38" i="2"/>
  <c r="Q66" i="2"/>
  <c r="P60" i="2"/>
  <c r="O68" i="2"/>
  <c r="N13" i="2"/>
  <c r="N35" i="2"/>
  <c r="N33" i="2"/>
  <c r="N32" i="2"/>
  <c r="N15" i="2"/>
  <c r="P61" i="2"/>
  <c r="P66" i="2"/>
  <c r="P55" i="2" l="1"/>
  <c r="Q50" i="2"/>
  <c r="Q56" i="2"/>
  <c r="Q60" i="2"/>
  <c r="R38" i="2"/>
  <c r="P68" i="2"/>
  <c r="R66" i="2"/>
  <c r="N34" i="2"/>
  <c r="N37" i="2"/>
  <c r="Q61" i="2"/>
  <c r="R60" i="2"/>
  <c r="N16" i="2"/>
  <c r="N36" i="2"/>
  <c r="Q68" i="2" l="1"/>
  <c r="Q55" i="2"/>
  <c r="R50" i="2"/>
  <c r="R56" i="2"/>
  <c r="S38" i="2"/>
  <c r="S60" i="2" s="1"/>
  <c r="S66" i="2"/>
  <c r="R61" i="2"/>
  <c r="R68" i="2" s="1"/>
  <c r="R55" i="2" l="1"/>
  <c r="S50" i="2"/>
  <c r="T38" i="2"/>
  <c r="T50" i="2" s="1"/>
  <c r="S61" i="2"/>
  <c r="S68" i="2" s="1"/>
  <c r="T66" i="2"/>
  <c r="T60" i="2" l="1"/>
  <c r="U38" i="2"/>
  <c r="U50" i="2" s="1"/>
  <c r="U60" i="2"/>
  <c r="U66" i="2"/>
  <c r="T61" i="2"/>
  <c r="T68" i="2" l="1"/>
  <c r="V38" i="2"/>
  <c r="V66" i="2"/>
  <c r="U61" i="2"/>
  <c r="U68" i="2" s="1"/>
  <c r="V50" i="2" l="1"/>
  <c r="V60" i="2"/>
  <c r="W38" i="2"/>
  <c r="W50" i="2" s="1"/>
  <c r="N14" i="2"/>
  <c r="V61" i="2"/>
  <c r="L38" i="2" l="1" a="1"/>
  <c r="L38" i="2" s="1"/>
  <c r="M38" i="2"/>
  <c r="V68" i="2"/>
  <c r="W60" i="2"/>
  <c r="N38" i="2"/>
  <c r="W61" i="2"/>
  <c r="W68" i="2" l="1"/>
  <c r="N66" i="2"/>
  <c r="N31" i="2"/>
  <c r="N60" i="2" l="1"/>
  <c r="N61" i="2"/>
  <c r="N12" i="2"/>
  <c r="N68" i="2" l="1"/>
  <c r="P2" i="2" l="1"/>
  <c r="L12" i="2" a="1"/>
  <c r="L12" i="2" s="1"/>
  <c r="M3" i="2"/>
  <c r="O59" i="2"/>
  <c r="L3" i="2" a="1"/>
  <c r="L3" i="2" s="1"/>
  <c r="O52" i="2" l="1"/>
  <c r="O53" i="2" s="1"/>
  <c r="L13" i="2" a="1"/>
  <c r="L13" i="2" s="1"/>
  <c r="Q2" i="2"/>
  <c r="R2" i="2" s="1"/>
  <c r="P59" i="2"/>
  <c r="P52" i="2" l="1"/>
  <c r="P53" i="2" s="1"/>
  <c r="L16" i="2" a="1"/>
  <c r="L16" i="2" s="1"/>
  <c r="L14" i="2" a="1"/>
  <c r="L14" i="2" s="1"/>
  <c r="Q59" i="2"/>
  <c r="Q52" i="2"/>
  <c r="Q53" i="2" l="1"/>
  <c r="S2" i="2"/>
  <c r="R59" i="2"/>
  <c r="R52" i="2" l="1"/>
  <c r="R53" i="2" s="1"/>
  <c r="T2" i="2"/>
  <c r="S59" i="2"/>
  <c r="S52" i="2" l="1"/>
  <c r="S53" i="2" s="1"/>
  <c r="T59" i="2"/>
  <c r="U2" i="2"/>
  <c r="T52" i="2" l="1"/>
  <c r="T53" i="2" s="1"/>
  <c r="V2" i="2"/>
  <c r="L15" i="2" a="1"/>
  <c r="L15" i="2" s="1"/>
  <c r="U59" i="2"/>
  <c r="W2" i="2" l="1"/>
  <c r="J50" i="2" s="1"/>
  <c r="U52" i="2"/>
  <c r="U53" i="2" s="1"/>
  <c r="V59" i="2"/>
  <c r="V52" i="2" l="1"/>
  <c r="K51" i="2"/>
  <c r="N54" i="2" l="1"/>
  <c r="O54" i="2" s="1" a="1"/>
  <c r="O54" i="2" s="1"/>
  <c r="P54" i="2" s="1" a="1"/>
  <c r="P54" i="2" s="1"/>
  <c r="Q54" i="2" s="1" a="1"/>
  <c r="Q54" i="2" s="1"/>
  <c r="R54" i="2" s="1" a="1"/>
  <c r="R54" i="2" s="1"/>
  <c r="S54" i="2" s="1" a="1"/>
  <c r="S54" i="2" s="1"/>
  <c r="T54" i="2" s="1" a="1"/>
  <c r="T54" i="2" s="1"/>
  <c r="U54" i="2" s="1" a="1"/>
  <c r="U54" i="2" s="1"/>
  <c r="J53" i="2" l="1"/>
</calcChain>
</file>

<file path=xl/comments1.xml><?xml version="1.0" encoding="utf-8"?>
<comments xmlns="http://schemas.openxmlformats.org/spreadsheetml/2006/main">
  <authors>
    <author>João Cunha</author>
  </authors>
  <commentList>
    <comment ref="J53" authorId="0" shapeId="0">
      <text>
        <r>
          <rPr>
            <sz val="8"/>
            <color indexed="81"/>
            <rFont val="Tahoma"/>
            <family val="2"/>
          </rPr>
          <t>This is the total duration of the project, in days. Is is NOT the total effort.</t>
        </r>
      </text>
    </comment>
    <comment ref="K53" authorId="0" shapeId="0">
      <text>
        <r>
          <rPr>
            <sz val="8"/>
            <color indexed="81"/>
            <rFont val="Tahoma"/>
            <family val="2"/>
          </rPr>
          <t>This is the sum of the current Estimated Effort</t>
        </r>
      </text>
    </comment>
  </commentList>
</comments>
</file>

<file path=xl/sharedStrings.xml><?xml version="1.0" encoding="utf-8"?>
<sst xmlns="http://schemas.openxmlformats.org/spreadsheetml/2006/main" count="241" uniqueCount="135">
  <si>
    <t>Budget at Completion (BAC)</t>
  </si>
  <si>
    <t>ID</t>
  </si>
  <si>
    <t>Task Level1</t>
  </si>
  <si>
    <t>Task Level2</t>
  </si>
  <si>
    <t>Task Level3</t>
  </si>
  <si>
    <t>Resource</t>
  </si>
  <si>
    <t>Planned Start</t>
  </si>
  <si>
    <t>Actual Effort</t>
  </si>
  <si>
    <t>Actual Complete</t>
  </si>
  <si>
    <t>Budgeted Cost of Work (BCW)</t>
  </si>
  <si>
    <t>Planned Complete</t>
  </si>
  <si>
    <t>Actual Cost of Work (ACW)</t>
  </si>
  <si>
    <t>Actual 
Start</t>
  </si>
  <si>
    <t>Notes</t>
  </si>
  <si>
    <t>TRACKING</t>
  </si>
  <si>
    <t>Earned Value (EV)</t>
  </si>
  <si>
    <t>Holidays</t>
  </si>
  <si>
    <t/>
  </si>
  <si>
    <t>Actual work expended</t>
  </si>
  <si>
    <t>WORK PER RESOURCE</t>
  </si>
  <si>
    <t>Total</t>
  </si>
  <si>
    <r>
      <t xml:space="preserve">Actual work expended (Mark with </t>
    </r>
    <r>
      <rPr>
        <sz val="10"/>
        <color theme="0"/>
        <rFont val="Calibri"/>
        <family val="2"/>
        <scheme val="minor"/>
      </rPr>
      <t>X</t>
    </r>
    <r>
      <rPr>
        <b/>
        <sz val="10"/>
        <color theme="0"/>
        <rFont val="Calibri"/>
        <family val="2"/>
        <scheme val="minor"/>
      </rPr>
      <t xml:space="preserve"> when task completed)</t>
    </r>
  </si>
  <si>
    <t>Definitions</t>
  </si>
  <si>
    <r>
      <t xml:space="preserve">The </t>
    </r>
    <r>
      <rPr>
        <b/>
        <sz val="10"/>
        <color theme="1"/>
        <rFont val="Calibri"/>
        <family val="2"/>
        <scheme val="minor"/>
      </rPr>
      <t>Actual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ACW</t>
    </r>
    <r>
      <rPr>
        <sz val="10"/>
        <color theme="1"/>
        <rFont val="Calibri"/>
        <family val="2"/>
        <scheme val="minor"/>
      </rPr>
      <t>) is the effort actually expended to complete the work tasks.</t>
    </r>
  </si>
  <si>
    <r>
      <rPr>
        <sz val="10"/>
        <color theme="1"/>
        <rFont val="Calibri"/>
        <family val="2"/>
        <scheme val="minor"/>
      </rPr>
      <t xml:space="preserve">The </t>
    </r>
    <r>
      <rPr>
        <b/>
        <sz val="10"/>
        <color theme="1"/>
        <rFont val="Calibri"/>
        <family val="2"/>
        <scheme val="minor"/>
      </rPr>
      <t>Budget at Completion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BAC</t>
    </r>
    <r>
      <rPr>
        <sz val="10"/>
        <color theme="1"/>
        <rFont val="Calibri"/>
        <family val="2"/>
        <scheme val="minor"/>
      </rPr>
      <t>) is the estimate of the total project effort. It results from summing the BCW of all the tasks.</t>
    </r>
  </si>
  <si>
    <t>Instructions</t>
  </si>
  <si>
    <t>Estimated Effort 
(hours)</t>
  </si>
  <si>
    <t>Actual Effort (hours)</t>
  </si>
  <si>
    <t>Start from previous start</t>
  </si>
  <si>
    <t>UPDATE</t>
  </si>
  <si>
    <t>PLANNING</t>
  </si>
  <si>
    <t>Planned Value (PV)</t>
  </si>
  <si>
    <t>Actual Cost (AC)</t>
  </si>
  <si>
    <t>3. 'Fill right' the EV and AC until the current day for updating the graph</t>
  </si>
  <si>
    <r>
      <t xml:space="preserve">The </t>
    </r>
    <r>
      <rPr>
        <b/>
        <sz val="10"/>
        <color theme="1"/>
        <rFont val="Calibri"/>
        <family val="2"/>
        <scheme val="minor"/>
      </rPr>
      <t>Planned Value</t>
    </r>
    <r>
      <rPr>
        <sz val="10"/>
        <color theme="1"/>
        <rFont val="Calibri"/>
        <family val="2"/>
        <scheme val="minor"/>
      </rPr>
      <t xml:space="preserve"> (PV) is the sum of the BCW of all the tasks that were scheduled to be completed at a point in time on the project schedule.  </t>
    </r>
  </si>
  <si>
    <r>
      <t xml:space="preserve">The </t>
    </r>
    <r>
      <rPr>
        <b/>
        <sz val="10"/>
        <color theme="1"/>
        <rFont val="Calibri"/>
        <family val="2"/>
        <scheme val="minor"/>
      </rPr>
      <t>Earned Value</t>
    </r>
    <r>
      <rPr>
        <sz val="10"/>
        <color theme="1"/>
        <rFont val="Calibri"/>
        <family val="2"/>
        <scheme val="minor"/>
      </rPr>
      <t xml:space="preserve"> (EV) is the sum of the BCW of all the tasks that have actually been completed at a point in time on the project schedule.</t>
    </r>
  </si>
  <si>
    <r>
      <t xml:space="preserve">The </t>
    </r>
    <r>
      <rPr>
        <b/>
        <sz val="10"/>
        <color theme="1"/>
        <rFont val="Calibri"/>
        <family val="2"/>
        <scheme val="minor"/>
      </rPr>
      <t xml:space="preserve">Actual Cost </t>
    </r>
    <r>
      <rPr>
        <sz val="10"/>
        <color theme="1"/>
        <rFont val="Calibri"/>
        <family val="2"/>
        <scheme val="minor"/>
      </rPr>
      <t>(</t>
    </r>
    <r>
      <rPr>
        <b/>
        <sz val="10"/>
        <color theme="1"/>
        <rFont val="Calibri"/>
        <family val="2"/>
        <scheme val="minor"/>
      </rPr>
      <t>AC</t>
    </r>
    <r>
      <rPr>
        <sz val="10"/>
        <color theme="1"/>
        <rFont val="Calibri"/>
        <family val="2"/>
        <scheme val="minor"/>
      </rPr>
      <t>) is the sum of the ACW of all the tasks that have actually been completed by a point in time in the project schedule.</t>
    </r>
  </si>
  <si>
    <t>1. Fill the project WBS [columns B:E]</t>
  </si>
  <si>
    <t>3. Set planned start for first task [cell G3]. Set planned duration [column J] and start-to-start dependency from previous task [column I]. Adjust dates [columns G:H].</t>
  </si>
  <si>
    <t>4. Update the holidays list [row 2]</t>
  </si>
  <si>
    <t>GENERAL</t>
  </si>
  <si>
    <t>1. Cells in Blank are writeable</t>
  </si>
  <si>
    <t>2. Cells in ligh gray contain formulas, but are writeable</t>
  </si>
  <si>
    <t>4. If you need more lines/columns in a table:</t>
  </si>
  <si>
    <t>4.1. Unprotect Sheet</t>
  </si>
  <si>
    <t>4.2. Select N entire rows/columns starting from last row/column of the table and right click + Insert</t>
  </si>
  <si>
    <t>4.3. Select cells from last row/column in the table and fill-up/-left.</t>
  </si>
  <si>
    <t>4.4. Protect Sheet</t>
  </si>
  <si>
    <t>* A Gantt chart with the plan is presented in green</t>
  </si>
  <si>
    <t>* A Gantt chart with the actual work is presented in blue and green-blue</t>
  </si>
  <si>
    <t>1. If reviewing an estimation, adding a task or deleting a task changes the total estimated project efort, the BAC must be updated at the date o the review.</t>
  </si>
  <si>
    <t>4. If removing a task, delete the estimated effort and check 1. If you also delete the planned duration and start-to-start dependency, the dates of the following tasks and the Gantt are automatically updated.</t>
  </si>
  <si>
    <t>3. If introducing new tasks, you may need to add new rows. Check GENERAL. Check 1 from UPDATE.</t>
  </si>
  <si>
    <t>5. If changing dates or resources, no further changes are required</t>
  </si>
  <si>
    <t>7. Insert a justification note on every change</t>
  </si>
  <si>
    <r>
      <t xml:space="preserve">The </t>
    </r>
    <r>
      <rPr>
        <b/>
        <sz val="10"/>
        <color theme="1"/>
        <rFont val="Calibri"/>
        <family val="2"/>
        <scheme val="minor"/>
      </rPr>
      <t>Budgeted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BCW</t>
    </r>
    <r>
      <rPr>
        <sz val="10"/>
        <color theme="1"/>
        <rFont val="Calibri"/>
        <family val="2"/>
        <scheme val="minor"/>
      </rPr>
      <t>) is the estimated effort for each of the work tasks represented in the schedule. This may be in person-hours.</t>
    </r>
  </si>
  <si>
    <t xml:space="preserve">6. If adding a resource, you may need to add new rows in the tables. Check GENERAL. </t>
  </si>
  <si>
    <t>2. Fill the task resources [column F] and estimated effort [column K]. If several resources are assigned to the same task, the task must be repeated in several lines, one for each resource.</t>
  </si>
  <si>
    <t>Planned Duration (weeks)</t>
  </si>
  <si>
    <t>Duration</t>
  </si>
  <si>
    <t>Effort/Week</t>
  </si>
  <si>
    <t>Work</t>
  </si>
  <si>
    <t>3. Keep last row/column of a table free (don't write a task in last row in tasks table)</t>
  </si>
  <si>
    <t>5. Check if you have at least one more days in the 'Actual work expended' tables [e.g. row 2] than the last day of the project (dates cells [row 2] in black). If not, insert columns and check GENERAL.</t>
  </si>
  <si>
    <t>5. Write the initial BAC (total estimated effort) [cell in column N, row of (BAC)]</t>
  </si>
  <si>
    <t>1. Introduce the actual work expended on the task during the week</t>
  </si>
  <si>
    <t>2. Set an X on the following week when a task is completed</t>
  </si>
  <si>
    <r>
      <t xml:space="preserve">2. If reviewing the estimated effort of any incomplete task, check </t>
    </r>
    <r>
      <rPr>
        <b/>
        <sz val="10"/>
        <color theme="1"/>
        <rFont val="Calibri"/>
        <family val="2"/>
        <scheme val="minor"/>
      </rPr>
      <t>1</t>
    </r>
    <r>
      <rPr>
        <sz val="10"/>
        <color theme="1"/>
        <rFont val="Calibri"/>
        <family val="2"/>
        <scheme val="minor"/>
      </rPr>
      <t>. No further changes are required.</t>
    </r>
  </si>
  <si>
    <t>YOU NEED TO BASELINE THE PROJECT BEFORE STARTING. Just copy the worksheet, with values and formats only.</t>
  </si>
  <si>
    <t>Requirements Analysis</t>
  </si>
  <si>
    <t>Elicitation (brainstorming) + Use Case (draft)</t>
  </si>
  <si>
    <t>Use case definition + Mockups + Business Rules</t>
  </si>
  <si>
    <t>Risk meeting</t>
  </si>
  <si>
    <t>Requirements definition + SRS production</t>
  </si>
  <si>
    <t>SRS Inspection</t>
  </si>
  <si>
    <t>Planning + Preparation</t>
  </si>
  <si>
    <t>Meeting</t>
  </si>
  <si>
    <t>Rework + Followup</t>
  </si>
  <si>
    <t>Reestimate</t>
  </si>
  <si>
    <t>Development</t>
  </si>
  <si>
    <t>Database</t>
  </si>
  <si>
    <t>Architecture definition (ER diagram)</t>
  </si>
  <si>
    <t>Walktrough</t>
  </si>
  <si>
    <t>Coding</t>
  </si>
  <si>
    <t>Database Module Implementation</t>
  </si>
  <si>
    <t>Coding (Adding tasks)</t>
  </si>
  <si>
    <t>UI</t>
  </si>
  <si>
    <t>Functionality</t>
  </si>
  <si>
    <t>Integration</t>
  </si>
  <si>
    <t>Coding (Adding Tasks)</t>
  </si>
  <si>
    <t>Coding (Show tasks details)</t>
  </si>
  <si>
    <t>Coding (Show tasks listing)</t>
  </si>
  <si>
    <t>Coding (Inactivity Alerts)</t>
  </si>
  <si>
    <t>Detection</t>
  </si>
  <si>
    <t>Reaction (UI)</t>
  </si>
  <si>
    <t>Reaction (Functionality)</t>
  </si>
  <si>
    <t>Reaction (Integration)</t>
  </si>
  <si>
    <t xml:space="preserve"> Coding (Edit and Delete task)</t>
  </si>
  <si>
    <t>Export app data</t>
  </si>
  <si>
    <t>Timing individual tasks</t>
  </si>
  <si>
    <t>Coding (Code Inspection)</t>
  </si>
  <si>
    <t>Acceptance Tests</t>
  </si>
  <si>
    <t>Executation</t>
  </si>
  <si>
    <t>Code and fix</t>
  </si>
  <si>
    <t>FB</t>
  </si>
  <si>
    <t>CM</t>
  </si>
  <si>
    <t>JG</t>
  </si>
  <si>
    <t>RG</t>
  </si>
  <si>
    <t>JM</t>
  </si>
  <si>
    <t xml:space="preserve"> </t>
  </si>
  <si>
    <t>Acceptance Tests Planning</t>
  </si>
  <si>
    <t xml:space="preserve">Integration                                                                            </t>
  </si>
  <si>
    <t>DJ</t>
  </si>
  <si>
    <t>FB;CM;RG</t>
  </si>
  <si>
    <t>JG;MO</t>
  </si>
  <si>
    <t>DJ; JM</t>
  </si>
  <si>
    <t>JG; MO</t>
  </si>
  <si>
    <t>CM; FB; DJ; JM; RG</t>
  </si>
  <si>
    <t>FB;JM</t>
  </si>
  <si>
    <t>MO</t>
  </si>
  <si>
    <t>CM; FB</t>
  </si>
  <si>
    <t>DJ; JG; MO</t>
  </si>
  <si>
    <t>CM; DJ; FB; JG; JM; MO; RG</t>
  </si>
  <si>
    <t>X</t>
  </si>
  <si>
    <t>x</t>
  </si>
  <si>
    <t>Management</t>
  </si>
  <si>
    <t>Week 1 Management</t>
  </si>
  <si>
    <t>Week 2 Management</t>
  </si>
  <si>
    <t>Week 3 Management</t>
  </si>
  <si>
    <t>Week 4 Management</t>
  </si>
  <si>
    <t>Week 5 Management</t>
  </si>
  <si>
    <t>Week 6 Management</t>
  </si>
  <si>
    <t>Week 7 Management</t>
  </si>
  <si>
    <t>FB;MO</t>
  </si>
  <si>
    <t>Week 8 Management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</si>
</sst>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0"/>
      <color theme="5" tint="0.59999389629810485"/>
      <name val="Calibri"/>
      <family val="2"/>
      <scheme val="minor"/>
    </font>
    <font>
      <sz val="8"/>
      <color indexed="81"/>
      <name val="Tahoma"/>
      <family val="2"/>
    </font>
    <font>
      <b/>
      <sz val="10"/>
      <color theme="5"/>
      <name val="Calibri"/>
      <family val="2"/>
      <scheme val="minor"/>
    </font>
    <font>
      <sz val="8"/>
      <color indexed="9"/>
      <name val="Calibri"/>
      <family val="2"/>
      <scheme val="minor"/>
    </font>
    <font>
      <sz val="8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0" fontId="2" fillId="0" borderId="0"/>
    <xf numFmtId="9" fontId="2" fillId="0" borderId="0" applyFont="0" applyFill="0" applyBorder="0" applyAlignment="0" applyProtection="0"/>
  </cellStyleXfs>
  <cellXfs count="103">
    <xf numFmtId="0" fontId="0" fillId="0" borderId="0" xfId="0"/>
    <xf numFmtId="0" fontId="3" fillId="0" borderId="0" xfId="0" applyFont="1"/>
    <xf numFmtId="0" fontId="3" fillId="0" borderId="0" xfId="0" applyFont="1" applyBorder="1"/>
    <xf numFmtId="0" fontId="5" fillId="5" borderId="1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wrapText="1"/>
      <protection locked="0"/>
    </xf>
    <xf numFmtId="0" fontId="5" fillId="0" borderId="1" xfId="1" applyFont="1" applyBorder="1" applyProtection="1">
      <protection locked="0"/>
    </xf>
    <xf numFmtId="0" fontId="8" fillId="5" borderId="1" xfId="1" applyFont="1" applyFill="1" applyBorder="1" applyAlignment="1" applyProtection="1">
      <alignment horizontal="center"/>
      <protection locked="0"/>
    </xf>
    <xf numFmtId="0" fontId="3" fillId="8" borderId="7" xfId="0" applyFont="1" applyFill="1" applyBorder="1" applyAlignment="1"/>
    <xf numFmtId="0" fontId="3" fillId="8" borderId="8" xfId="0" applyFont="1" applyFill="1" applyBorder="1" applyAlignment="1"/>
    <xf numFmtId="0" fontId="4" fillId="6" borderId="6" xfId="1" applyFont="1" applyFill="1" applyBorder="1" applyAlignment="1" applyProtection="1">
      <alignment horizontal="left" wrapText="1"/>
      <protection locked="0"/>
    </xf>
    <xf numFmtId="0" fontId="5" fillId="14" borderId="9" xfId="1" applyFont="1" applyFill="1" applyBorder="1" applyAlignment="1" applyProtection="1">
      <alignment wrapText="1"/>
      <protection locked="0"/>
    </xf>
    <xf numFmtId="0" fontId="5" fillId="14" borderId="7" xfId="1" applyFont="1" applyFill="1" applyBorder="1" applyAlignment="1" applyProtection="1">
      <alignment wrapText="1"/>
      <protection locked="0"/>
    </xf>
    <xf numFmtId="0" fontId="3" fillId="14" borderId="7" xfId="1" applyFont="1" applyFill="1" applyBorder="1" applyAlignment="1" applyProtection="1">
      <alignment wrapText="1"/>
      <protection locked="0"/>
    </xf>
    <xf numFmtId="0" fontId="3" fillId="14" borderId="8" xfId="1" applyFont="1" applyFill="1" applyBorder="1" applyAlignment="1" applyProtection="1">
      <alignment wrapText="1"/>
      <protection locked="0"/>
    </xf>
    <xf numFmtId="0" fontId="7" fillId="8" borderId="6" xfId="0" applyFont="1" applyFill="1" applyBorder="1" applyAlignment="1"/>
    <xf numFmtId="0" fontId="7" fillId="8" borderId="7" xfId="0" applyFont="1" applyFill="1" applyBorder="1" applyAlignment="1"/>
    <xf numFmtId="0" fontId="0" fillId="13" borderId="0" xfId="0" applyFill="1"/>
    <xf numFmtId="0" fontId="3" fillId="0" borderId="1" xfId="0" applyFont="1" applyBorder="1" applyAlignment="1" applyProtection="1">
      <alignment horizontal="center"/>
      <protection locked="0"/>
    </xf>
    <xf numFmtId="0" fontId="5" fillId="13" borderId="0" xfId="1" applyFont="1" applyFill="1" applyBorder="1" applyProtection="1"/>
    <xf numFmtId="0" fontId="5" fillId="13" borderId="0" xfId="1" applyFont="1" applyFill="1" applyBorder="1" applyAlignment="1" applyProtection="1">
      <alignment horizontal="left" wrapText="1"/>
    </xf>
    <xf numFmtId="0" fontId="4" fillId="7" borderId="5" xfId="1" applyFont="1" applyFill="1" applyBorder="1" applyAlignment="1" applyProtection="1">
      <alignment horizontal="left"/>
    </xf>
    <xf numFmtId="0" fontId="4" fillId="7" borderId="5" xfId="1" applyFont="1" applyFill="1" applyBorder="1" applyAlignment="1" applyProtection="1">
      <alignment wrapText="1"/>
    </xf>
    <xf numFmtId="0" fontId="5" fillId="0" borderId="0" xfId="1" applyFont="1" applyFill="1" applyBorder="1" applyProtection="1"/>
    <xf numFmtId="0" fontId="8" fillId="4" borderId="1" xfId="1" applyFont="1" applyFill="1" applyBorder="1" applyAlignment="1" applyProtection="1">
      <alignment horizontal="center" wrapText="1"/>
    </xf>
    <xf numFmtId="0" fontId="8" fillId="4" borderId="1" xfId="1" applyFont="1" applyFill="1" applyBorder="1" applyAlignment="1" applyProtection="1">
      <alignment horizontal="left" wrapText="1"/>
    </xf>
    <xf numFmtId="0" fontId="8" fillId="12" borderId="1" xfId="1" applyFont="1" applyFill="1" applyBorder="1" applyAlignment="1" applyProtection="1">
      <alignment horizontal="center" wrapText="1"/>
    </xf>
    <xf numFmtId="0" fontId="8" fillId="7" borderId="1" xfId="1" applyFont="1" applyFill="1" applyBorder="1" applyAlignment="1" applyProtection="1">
      <alignment horizontal="center" wrapText="1"/>
    </xf>
    <xf numFmtId="14" fontId="14" fillId="4" borderId="2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Protection="1"/>
    <xf numFmtId="0" fontId="6" fillId="13" borderId="0" xfId="1" applyFont="1" applyFill="1" applyBorder="1" applyProtection="1"/>
    <xf numFmtId="0" fontId="11" fillId="6" borderId="1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wrapText="1"/>
    </xf>
    <xf numFmtId="0" fontId="4" fillId="6" borderId="5" xfId="1" applyFont="1" applyFill="1" applyBorder="1" applyAlignment="1" applyProtection="1">
      <alignment wrapText="1"/>
    </xf>
    <xf numFmtId="0" fontId="6" fillId="0" borderId="0" xfId="1" applyFont="1" applyBorder="1" applyProtection="1"/>
    <xf numFmtId="0" fontId="4" fillId="12" borderId="1" xfId="1" applyNumberFormat="1" applyFont="1" applyFill="1" applyBorder="1" applyAlignment="1" applyProtection="1">
      <alignment horizontal="center"/>
    </xf>
    <xf numFmtId="0" fontId="5" fillId="13" borderId="0" xfId="1" applyFont="1" applyFill="1" applyBorder="1" applyAlignment="1" applyProtection="1">
      <alignment horizontal="center" wrapText="1"/>
    </xf>
    <xf numFmtId="0" fontId="5" fillId="13" borderId="0" xfId="1" applyFont="1" applyFill="1" applyBorder="1" applyAlignment="1" applyProtection="1">
      <alignment horizontal="center"/>
    </xf>
    <xf numFmtId="0" fontId="5" fillId="3" borderId="1" xfId="1" applyFont="1" applyFill="1" applyBorder="1" applyAlignment="1" applyProtection="1">
      <alignment horizontal="center"/>
    </xf>
    <xf numFmtId="0" fontId="8" fillId="7" borderId="1" xfId="1" applyFont="1" applyFill="1" applyBorder="1" applyAlignment="1" applyProtection="1">
      <alignment horizontal="center" wrapText="1"/>
    </xf>
    <xf numFmtId="14" fontId="10" fillId="4" borderId="4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Alignment="1" applyProtection="1">
      <alignment horizontal="left" wrapText="1"/>
    </xf>
    <xf numFmtId="0" fontId="5" fillId="0" borderId="0" xfId="1" applyFont="1" applyBorder="1" applyAlignment="1" applyProtection="1">
      <alignment horizontal="center" wrapText="1"/>
    </xf>
    <xf numFmtId="0" fontId="5" fillId="0" borderId="0" xfId="1" applyFont="1" applyBorder="1" applyAlignment="1" applyProtection="1">
      <alignment horizontal="center"/>
    </xf>
    <xf numFmtId="0" fontId="3" fillId="0" borderId="1" xfId="0" applyNumberFormat="1" applyFont="1" applyBorder="1" applyAlignment="1" applyProtection="1">
      <alignment horizontal="center"/>
      <protection locked="0"/>
    </xf>
    <xf numFmtId="0" fontId="8" fillId="4" borderId="4" xfId="1" applyFont="1" applyFill="1" applyBorder="1" applyAlignment="1" applyProtection="1">
      <alignment horizontal="center" wrapText="1"/>
    </xf>
    <xf numFmtId="14" fontId="3" fillId="0" borderId="1" xfId="0" applyNumberFormat="1" applyFont="1" applyFill="1" applyBorder="1" applyAlignment="1" applyProtection="1">
      <alignment horizontal="center"/>
      <protection locked="0"/>
    </xf>
    <xf numFmtId="0" fontId="3" fillId="13" borderId="1" xfId="0" applyNumberFormat="1" applyFont="1" applyFill="1" applyBorder="1" applyAlignment="1" applyProtection="1">
      <alignment horizontal="center"/>
    </xf>
    <xf numFmtId="0" fontId="7" fillId="9" borderId="1" xfId="1" applyFont="1" applyFill="1" applyBorder="1" applyAlignment="1" applyProtection="1">
      <alignment wrapText="1"/>
    </xf>
    <xf numFmtId="0" fontId="5" fillId="9" borderId="1" xfId="1" applyFont="1" applyFill="1" applyBorder="1" applyAlignment="1" applyProtection="1">
      <alignment horizontal="center"/>
    </xf>
    <xf numFmtId="0" fontId="5" fillId="0" borderId="1" xfId="1" applyFont="1" applyFill="1" applyBorder="1" applyAlignment="1" applyProtection="1">
      <alignment horizontal="center" wrapText="1"/>
      <protection locked="0"/>
    </xf>
    <xf numFmtId="0" fontId="13" fillId="0" borderId="1" xfId="1" applyFont="1" applyFill="1" applyBorder="1" applyAlignment="1" applyProtection="1">
      <alignment horizontal="center"/>
      <protection locked="0"/>
    </xf>
    <xf numFmtId="0" fontId="5" fillId="2" borderId="1" xfId="1" applyFont="1" applyFill="1" applyBorder="1" applyAlignment="1" applyProtection="1">
      <alignment horizontal="center"/>
      <protection locked="0"/>
    </xf>
    <xf numFmtId="14" fontId="15" fillId="0" borderId="5" xfId="0" applyNumberFormat="1" applyFont="1" applyFill="1" applyBorder="1" applyAlignment="1" applyProtection="1">
      <alignment textRotation="90"/>
      <protection locked="0"/>
    </xf>
    <xf numFmtId="0" fontId="15" fillId="0" borderId="5" xfId="0" applyFont="1" applyFill="1" applyBorder="1" applyAlignment="1" applyProtection="1">
      <alignment textRotation="90"/>
      <protection locked="0"/>
    </xf>
    <xf numFmtId="0" fontId="10" fillId="4" borderId="4" xfId="0" applyFont="1" applyFill="1" applyBorder="1" applyAlignment="1" applyProtection="1">
      <alignment textRotation="90"/>
    </xf>
    <xf numFmtId="14" fontId="5" fillId="3" borderId="1" xfId="1" applyNumberFormat="1" applyFont="1" applyFill="1" applyBorder="1" applyAlignment="1" applyProtection="1">
      <alignment horizontal="center" wrapText="1"/>
    </xf>
    <xf numFmtId="0" fontId="5" fillId="3" borderId="1" xfId="1" applyFont="1" applyFill="1" applyBorder="1" applyAlignment="1" applyProtection="1">
      <alignment horizontal="center" wrapText="1"/>
    </xf>
    <xf numFmtId="14" fontId="5" fillId="13" borderId="0" xfId="1" applyNumberFormat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wrapText="1"/>
    </xf>
    <xf numFmtId="0" fontId="4" fillId="12" borderId="5" xfId="1" applyFont="1" applyFill="1" applyBorder="1" applyAlignment="1" applyProtection="1">
      <alignment wrapText="1"/>
    </xf>
    <xf numFmtId="0" fontId="4" fillId="11" borderId="4" xfId="1" applyFont="1" applyFill="1" applyBorder="1" applyAlignment="1" applyProtection="1">
      <alignment wrapText="1"/>
    </xf>
    <xf numFmtId="0" fontId="4" fillId="11" borderId="5" xfId="1" applyFont="1" applyFill="1" applyBorder="1" applyAlignment="1" applyProtection="1">
      <alignment wrapText="1"/>
    </xf>
    <xf numFmtId="0" fontId="4" fillId="7" borderId="4" xfId="1" applyFont="1" applyFill="1" applyBorder="1" applyAlignment="1" applyProtection="1">
      <alignment wrapText="1"/>
    </xf>
    <xf numFmtId="0" fontId="8" fillId="12" borderId="1" xfId="1" applyFont="1" applyFill="1" applyBorder="1" applyAlignment="1" applyProtection="1">
      <alignment horizontal="left" wrapText="1"/>
    </xf>
    <xf numFmtId="0" fontId="4" fillId="11" borderId="1" xfId="1" applyFont="1" applyFill="1" applyBorder="1" applyAlignment="1" applyProtection="1">
      <alignment horizontal="center" wrapText="1"/>
    </xf>
    <xf numFmtId="0" fontId="4" fillId="7" borderId="1" xfId="1" applyFont="1" applyFill="1" applyBorder="1" applyAlignment="1" applyProtection="1">
      <alignment horizontal="center" wrapText="1"/>
    </xf>
    <xf numFmtId="0" fontId="9" fillId="8" borderId="7" xfId="0" applyFont="1" applyFill="1" applyBorder="1" applyAlignment="1"/>
    <xf numFmtId="0" fontId="13" fillId="5" borderId="3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horizontal="left" vertical="center" wrapText="1"/>
      <protection locked="0"/>
    </xf>
    <xf numFmtId="0" fontId="5" fillId="0" borderId="1" xfId="1" applyFont="1" applyBorder="1" applyAlignment="1" applyProtection="1">
      <alignment horizontal="left" vertical="center"/>
    </xf>
    <xf numFmtId="0" fontId="5" fillId="5" borderId="11" xfId="1" applyFont="1" applyFill="1" applyBorder="1" applyAlignment="1" applyProtection="1">
      <alignment wrapText="1"/>
      <protection locked="0"/>
    </xf>
    <xf numFmtId="0" fontId="5" fillId="5" borderId="11" xfId="1" applyFont="1" applyFill="1" applyBorder="1" applyAlignment="1" applyProtection="1">
      <alignment horizontal="left" vertical="center" wrapText="1"/>
      <protection locked="0"/>
    </xf>
    <xf numFmtId="0" fontId="5" fillId="5" borderId="10" xfId="1" applyFont="1" applyFill="1" applyBorder="1" applyAlignment="1" applyProtection="1">
      <alignment wrapText="1"/>
      <protection locked="0"/>
    </xf>
    <xf numFmtId="0" fontId="5" fillId="5" borderId="10" xfId="1" applyFont="1" applyFill="1" applyBorder="1" applyAlignment="1" applyProtection="1">
      <alignment horizontal="left" vertical="center" wrapText="1"/>
      <protection locked="0"/>
    </xf>
    <xf numFmtId="0" fontId="5" fillId="0" borderId="10" xfId="1" applyFont="1" applyBorder="1" applyAlignment="1" applyProtection="1">
      <alignment horizontal="left" vertical="center"/>
    </xf>
    <xf numFmtId="14" fontId="3" fillId="0" borderId="11" xfId="0" applyNumberFormat="1" applyFont="1" applyFill="1" applyBorder="1" applyAlignment="1" applyProtection="1">
      <alignment horizontal="center"/>
      <protection locked="0"/>
    </xf>
    <xf numFmtId="0" fontId="3" fillId="0" borderId="11" xfId="0" applyNumberFormat="1" applyFont="1" applyBorder="1" applyAlignment="1" applyProtection="1">
      <alignment horizontal="center"/>
      <protection locked="0"/>
    </xf>
    <xf numFmtId="0" fontId="5" fillId="5" borderId="11" xfId="1" applyFont="1" applyFill="1" applyBorder="1" applyAlignment="1" applyProtection="1">
      <alignment horizontal="center" wrapText="1"/>
      <protection locked="0"/>
    </xf>
    <xf numFmtId="14" fontId="5" fillId="3" borderId="11" xfId="1" applyNumberFormat="1" applyFont="1" applyFill="1" applyBorder="1" applyAlignment="1" applyProtection="1">
      <alignment horizontal="center" wrapText="1"/>
    </xf>
    <xf numFmtId="0" fontId="5" fillId="3" borderId="11" xfId="1" applyFont="1" applyFill="1" applyBorder="1" applyAlignment="1" applyProtection="1">
      <alignment horizontal="center" wrapText="1"/>
    </xf>
    <xf numFmtId="0" fontId="5" fillId="2" borderId="11" xfId="1" applyFont="1" applyFill="1" applyBorder="1" applyAlignment="1" applyProtection="1">
      <alignment horizontal="center"/>
      <protection locked="0"/>
    </xf>
    <xf numFmtId="0" fontId="5" fillId="0" borderId="11" xfId="1" applyFont="1" applyBorder="1" applyProtection="1">
      <protection locked="0"/>
    </xf>
    <xf numFmtId="14" fontId="3" fillId="0" borderId="10" xfId="0" applyNumberFormat="1" applyFont="1" applyFill="1" applyBorder="1" applyAlignment="1" applyProtection="1">
      <alignment horizontal="center"/>
      <protection locked="0"/>
    </xf>
    <xf numFmtId="0" fontId="3" fillId="0" borderId="10" xfId="0" applyNumberFormat="1" applyFont="1" applyBorder="1" applyAlignment="1" applyProtection="1">
      <alignment horizontal="center"/>
      <protection locked="0"/>
    </xf>
    <xf numFmtId="0" fontId="5" fillId="5" borderId="10" xfId="1" applyFont="1" applyFill="1" applyBorder="1" applyAlignment="1" applyProtection="1">
      <alignment horizontal="center" wrapText="1"/>
      <protection locked="0"/>
    </xf>
    <xf numFmtId="14" fontId="5" fillId="3" borderId="10" xfId="1" applyNumberFormat="1" applyFont="1" applyFill="1" applyBorder="1" applyAlignment="1" applyProtection="1">
      <alignment horizontal="center" wrapText="1"/>
    </xf>
    <xf numFmtId="0" fontId="5" fillId="3" borderId="10" xfId="1" applyFont="1" applyFill="1" applyBorder="1" applyAlignment="1" applyProtection="1">
      <alignment horizontal="center" wrapText="1"/>
    </xf>
    <xf numFmtId="0" fontId="5" fillId="2" borderId="10" xfId="1" applyFont="1" applyFill="1" applyBorder="1" applyAlignment="1" applyProtection="1">
      <alignment horizontal="center"/>
      <protection locked="0"/>
    </xf>
    <xf numFmtId="0" fontId="5" fillId="0" borderId="10" xfId="1" applyFont="1" applyBorder="1" applyProtection="1">
      <protection locked="0"/>
    </xf>
    <xf numFmtId="0" fontId="3" fillId="0" borderId="1" xfId="0" applyFont="1" applyBorder="1" applyAlignment="1" applyProtection="1">
      <alignment horizontal="center" wrapText="1"/>
      <protection locked="0"/>
    </xf>
    <xf numFmtId="0" fontId="4" fillId="10" borderId="4" xfId="1" applyFont="1" applyFill="1" applyBorder="1" applyAlignment="1" applyProtection="1">
      <alignment horizontal="left" wrapText="1"/>
    </xf>
    <xf numFmtId="0" fontId="4" fillId="10" borderId="3" xfId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horizontal="center" wrapText="1"/>
    </xf>
    <xf numFmtId="0" fontId="4" fillId="12" borderId="5" xfId="1" applyFont="1" applyFill="1" applyBorder="1" applyAlignment="1" applyProtection="1">
      <alignment horizontal="center" wrapText="1"/>
    </xf>
    <xf numFmtId="0" fontId="4" fillId="12" borderId="3" xfId="1" applyFont="1" applyFill="1" applyBorder="1" applyAlignment="1" applyProtection="1">
      <alignment horizontal="center" wrapText="1"/>
    </xf>
    <xf numFmtId="0" fontId="4" fillId="7" borderId="4" xfId="1" applyFont="1" applyFill="1" applyBorder="1" applyAlignment="1" applyProtection="1">
      <alignment horizontal="center" wrapText="1"/>
    </xf>
    <xf numFmtId="0" fontId="4" fillId="7" borderId="5" xfId="1" applyFont="1" applyFill="1" applyBorder="1" applyAlignment="1" applyProtection="1">
      <alignment horizontal="center" wrapText="1"/>
    </xf>
    <xf numFmtId="0" fontId="4" fillId="7" borderId="3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horizontal="left" wrapText="1"/>
    </xf>
    <xf numFmtId="0" fontId="4" fillId="6" borderId="5" xfId="1" applyFont="1" applyFill="1" applyBorder="1" applyAlignment="1" applyProtection="1">
      <alignment horizontal="left" wrapText="1"/>
    </xf>
    <xf numFmtId="0" fontId="4" fillId="6" borderId="3" xfId="1" applyFont="1" applyFill="1" applyBorder="1" applyAlignment="1" applyProtection="1">
      <alignment horizontal="left" wrapText="1"/>
    </xf>
    <xf numFmtId="0" fontId="8" fillId="12" borderId="4" xfId="1" applyFont="1" applyFill="1" applyBorder="1" applyAlignment="1" applyProtection="1">
      <alignment horizontal="left" wrapText="1"/>
    </xf>
    <xf numFmtId="0" fontId="8" fillId="12" borderId="3" xfId="1" applyFont="1" applyFill="1" applyBorder="1" applyAlignment="1" applyProtection="1">
      <alignment horizontal="left" wrapText="1"/>
    </xf>
  </cellXfs>
  <cellStyles count="4">
    <cellStyle name="Normal" xfId="0" builtinId="0"/>
    <cellStyle name="Normal 2" xfId="1"/>
    <cellStyle name="Normal 3" xfId="2"/>
    <cellStyle name="Percent 2" xfId="3"/>
  </cellStyles>
  <dxfs count="19">
    <dxf>
      <font>
        <color theme="5"/>
      </font>
      <fill>
        <patternFill>
          <bgColor theme="0" tint="-0.1499679555650502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auto="1"/>
      </font>
      <fill>
        <patternFill>
          <bgColor theme="4"/>
        </patternFill>
      </fill>
    </dxf>
    <dxf>
      <fill>
        <patternFill>
          <bgColor theme="6"/>
        </patternFill>
      </fill>
    </dxf>
    <dxf>
      <fill>
        <patternFill patternType="solid">
          <fgColor theme="4" tint="-0.499984740745262"/>
          <bgColor rgb="FF286A7C"/>
        </patternFill>
      </fill>
    </dxf>
    <dxf>
      <font>
        <color theme="0"/>
      </font>
    </dxf>
    <dxf>
      <font>
        <color theme="7" tint="-0.24994659260841701"/>
      </font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7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286A7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Earned Value Analysis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290719630195478"/>
          <c:y val="0.12626359758127659"/>
          <c:w val="0.52507290320053279"/>
          <c:h val="0.66258239843913314"/>
        </c:manualLayout>
      </c:layout>
      <c:lineChart>
        <c:grouping val="standard"/>
        <c:varyColors val="0"/>
        <c:ser>
          <c:idx val="1"/>
          <c:order val="0"/>
          <c:tx>
            <c:strRef>
              <c:f>'Project Tracking'!$C$53</c:f>
              <c:strCache>
                <c:ptCount val="1"/>
                <c:pt idx="0">
                  <c:v>Budget at Completion (BAC)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cat>
            <c:strRef>
              <c:f>'Project Tracking'!$N$52:$W$52</c:f>
              <c:strCache>
                <c:ptCount val="9"/>
                <c:pt idx="0">
                  <c:v>08/04/2013</c:v>
                </c:pt>
                <c:pt idx="1">
                  <c:v>15/04/2013</c:v>
                </c:pt>
                <c:pt idx="2">
                  <c:v>22/04/2013</c:v>
                </c:pt>
                <c:pt idx="3">
                  <c:v>29/04/2013</c:v>
                </c:pt>
                <c:pt idx="4">
                  <c:v>06/05/2013</c:v>
                </c:pt>
                <c:pt idx="5">
                  <c:v>13/05/2013</c:v>
                </c:pt>
                <c:pt idx="6">
                  <c:v>20/05/2013</c:v>
                </c:pt>
                <c:pt idx="7">
                  <c:v>27/05/2013</c:v>
                </c:pt>
                <c:pt idx="8">
                  <c:v>03/06/2013</c:v>
                </c:pt>
              </c:strCache>
            </c:strRef>
          </c:cat>
          <c:val>
            <c:numRef>
              <c:f>'Project Tracking'!$N$53:$W$53</c:f>
              <c:numCache>
                <c:formatCode>General</c:formatCode>
                <c:ptCount val="10"/>
                <c:pt idx="0">
                  <c:v>296</c:v>
                </c:pt>
                <c:pt idx="1">
                  <c:v>296</c:v>
                </c:pt>
                <c:pt idx="2">
                  <c:v>296</c:v>
                </c:pt>
                <c:pt idx="3">
                  <c:v>296</c:v>
                </c:pt>
                <c:pt idx="4">
                  <c:v>296</c:v>
                </c:pt>
                <c:pt idx="5">
                  <c:v>296</c:v>
                </c:pt>
                <c:pt idx="6">
                  <c:v>296</c:v>
                </c:pt>
                <c:pt idx="7">
                  <c:v>296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'Project Tracking'!$C$54</c:f>
              <c:strCache>
                <c:ptCount val="1"/>
                <c:pt idx="0">
                  <c:v>Planned Value (PV)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cat>
            <c:strRef>
              <c:f>'Project Tracking'!$N$52:$W$52</c:f>
              <c:strCache>
                <c:ptCount val="9"/>
                <c:pt idx="0">
                  <c:v>08/04/2013</c:v>
                </c:pt>
                <c:pt idx="1">
                  <c:v>15/04/2013</c:v>
                </c:pt>
                <c:pt idx="2">
                  <c:v>22/04/2013</c:v>
                </c:pt>
                <c:pt idx="3">
                  <c:v>29/04/2013</c:v>
                </c:pt>
                <c:pt idx="4">
                  <c:v>06/05/2013</c:v>
                </c:pt>
                <c:pt idx="5">
                  <c:v>13/05/2013</c:v>
                </c:pt>
                <c:pt idx="6">
                  <c:v>20/05/2013</c:v>
                </c:pt>
                <c:pt idx="7">
                  <c:v>27/05/2013</c:v>
                </c:pt>
                <c:pt idx="8">
                  <c:v>03/06/2013</c:v>
                </c:pt>
              </c:strCache>
            </c:strRef>
          </c:cat>
          <c:val>
            <c:numRef>
              <c:f>'Project Tracking'!$N$54:$W$54</c:f>
              <c:numCache>
                <c:formatCode>General</c:formatCode>
                <c:ptCount val="10"/>
                <c:pt idx="0">
                  <c:v>0</c:v>
                </c:pt>
                <c:pt idx="1">
                  <c:v>31</c:v>
                </c:pt>
                <c:pt idx="2">
                  <c:v>36</c:v>
                </c:pt>
                <c:pt idx="3">
                  <c:v>85.75</c:v>
                </c:pt>
                <c:pt idx="4">
                  <c:v>85.75</c:v>
                </c:pt>
                <c:pt idx="5">
                  <c:v>145.75</c:v>
                </c:pt>
                <c:pt idx="6">
                  <c:v>193.75</c:v>
                </c:pt>
                <c:pt idx="7">
                  <c:v>230.75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'Project Tracking'!$C$55</c:f>
              <c:strCache>
                <c:ptCount val="1"/>
                <c:pt idx="0">
                  <c:v>Earned Value (EV)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strRef>
              <c:f>'Project Tracking'!$N$52:$W$52</c:f>
              <c:strCache>
                <c:ptCount val="9"/>
                <c:pt idx="0">
                  <c:v>08/04/2013</c:v>
                </c:pt>
                <c:pt idx="1">
                  <c:v>15/04/2013</c:v>
                </c:pt>
                <c:pt idx="2">
                  <c:v>22/04/2013</c:v>
                </c:pt>
                <c:pt idx="3">
                  <c:v>29/04/2013</c:v>
                </c:pt>
                <c:pt idx="4">
                  <c:v>06/05/2013</c:v>
                </c:pt>
                <c:pt idx="5">
                  <c:v>13/05/2013</c:v>
                </c:pt>
                <c:pt idx="6">
                  <c:v>20/05/2013</c:v>
                </c:pt>
                <c:pt idx="7">
                  <c:v>27/05/2013</c:v>
                </c:pt>
                <c:pt idx="8">
                  <c:v>03/06/2013</c:v>
                </c:pt>
              </c:strCache>
            </c:strRef>
          </c:cat>
          <c:val>
            <c:numRef>
              <c:f>'Project Tracking'!$N$55:$W$55</c:f>
              <c:numCache>
                <c:formatCode>General</c:formatCode>
                <c:ptCount val="10"/>
                <c:pt idx="0">
                  <c:v>0</c:v>
                </c:pt>
                <c:pt idx="1">
                  <c:v>31</c:v>
                </c:pt>
                <c:pt idx="2">
                  <c:v>36</c:v>
                </c:pt>
                <c:pt idx="3">
                  <c:v>36</c:v>
                </c:pt>
                <c:pt idx="4">
                  <c:v>36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'Project Tracking'!$C$56</c:f>
              <c:strCache>
                <c:ptCount val="1"/>
                <c:pt idx="0">
                  <c:v>Actual Cost (AC)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strRef>
              <c:f>'Project Tracking'!$N$52:$W$52</c:f>
              <c:strCache>
                <c:ptCount val="9"/>
                <c:pt idx="0">
                  <c:v>08/04/2013</c:v>
                </c:pt>
                <c:pt idx="1">
                  <c:v>15/04/2013</c:v>
                </c:pt>
                <c:pt idx="2">
                  <c:v>22/04/2013</c:v>
                </c:pt>
                <c:pt idx="3">
                  <c:v>29/04/2013</c:v>
                </c:pt>
                <c:pt idx="4">
                  <c:v>06/05/2013</c:v>
                </c:pt>
                <c:pt idx="5">
                  <c:v>13/05/2013</c:v>
                </c:pt>
                <c:pt idx="6">
                  <c:v>20/05/2013</c:v>
                </c:pt>
                <c:pt idx="7">
                  <c:v>27/05/2013</c:v>
                </c:pt>
                <c:pt idx="8">
                  <c:v>03/06/2013</c:v>
                </c:pt>
              </c:strCache>
            </c:strRef>
          </c:cat>
          <c:val>
            <c:numRef>
              <c:f>'Project Tracking'!$N$56:$W$56</c:f>
              <c:numCache>
                <c:formatCode>General</c:formatCode>
                <c:ptCount val="10"/>
                <c:pt idx="0">
                  <c:v>0</c:v>
                </c:pt>
                <c:pt idx="1">
                  <c:v>32.75</c:v>
                </c:pt>
                <c:pt idx="2">
                  <c:v>33</c:v>
                </c:pt>
                <c:pt idx="3">
                  <c:v>33</c:v>
                </c:pt>
                <c:pt idx="4">
                  <c:v>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188560"/>
        <c:axId val="119189120"/>
      </c:lineChart>
      <c:catAx>
        <c:axId val="1191885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19189120"/>
        <c:crosses val="autoZero"/>
        <c:auto val="0"/>
        <c:lblAlgn val="ctr"/>
        <c:lblOffset val="100"/>
        <c:noMultiLvlLbl val="0"/>
      </c:catAx>
      <c:valAx>
        <c:axId val="119189120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Effort (man-hour)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918856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322" l="0.70000000000000062" r="0.70000000000000062" t="0.75000000000000322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212724</xdr:colOff>
      <xdr:row>0</xdr:row>
      <xdr:rowOff>111123</xdr:rowOff>
    </xdr:from>
    <xdr:to>
      <xdr:col>12</xdr:col>
      <xdr:colOff>123825</xdr:colOff>
      <xdr:row>18</xdr:row>
      <xdr:rowOff>112182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B48"/>
  <sheetViews>
    <sheetView showGridLines="0" topLeftCell="A16" zoomScaleNormal="100" workbookViewId="0">
      <selection activeCell="B20" sqref="B20"/>
    </sheetView>
  </sheetViews>
  <sheetFormatPr defaultColWidth="9.140625" defaultRowHeight="12.75" x14ac:dyDescent="0.2"/>
  <cols>
    <col min="1" max="1" width="3.85546875" style="2" customWidth="1"/>
    <col min="2" max="2" width="163.5703125" style="2" bestFit="1" customWidth="1"/>
    <col min="3" max="4" width="9.140625" style="2"/>
    <col min="5" max="8" width="10.140625" style="2" bestFit="1" customWidth="1"/>
    <col min="9" max="16384" width="9.140625" style="2"/>
  </cols>
  <sheetData>
    <row r="1" spans="2:2" ht="13.5" thickBot="1" x14ac:dyDescent="0.25"/>
    <row r="2" spans="2:2" ht="13.5" thickBot="1" x14ac:dyDescent="0.25">
      <c r="B2" s="9" t="s">
        <v>25</v>
      </c>
    </row>
    <row r="3" spans="2:2" x14ac:dyDescent="0.2">
      <c r="B3" s="14"/>
    </row>
    <row r="4" spans="2:2" x14ac:dyDescent="0.2">
      <c r="B4" s="15" t="s">
        <v>40</v>
      </c>
    </row>
    <row r="5" spans="2:2" x14ac:dyDescent="0.2">
      <c r="B5" s="7" t="s">
        <v>41</v>
      </c>
    </row>
    <row r="6" spans="2:2" x14ac:dyDescent="0.2">
      <c r="B6" s="7" t="s">
        <v>42</v>
      </c>
    </row>
    <row r="7" spans="2:2" x14ac:dyDescent="0.2">
      <c r="B7" s="7" t="s">
        <v>62</v>
      </c>
    </row>
    <row r="8" spans="2:2" x14ac:dyDescent="0.2">
      <c r="B8" s="7" t="s">
        <v>43</v>
      </c>
    </row>
    <row r="9" spans="2:2" x14ac:dyDescent="0.2">
      <c r="B9" s="7" t="s">
        <v>44</v>
      </c>
    </row>
    <row r="10" spans="2:2" x14ac:dyDescent="0.2">
      <c r="B10" s="7" t="s">
        <v>45</v>
      </c>
    </row>
    <row r="11" spans="2:2" x14ac:dyDescent="0.2">
      <c r="B11" s="7" t="s">
        <v>46</v>
      </c>
    </row>
    <row r="12" spans="2:2" x14ac:dyDescent="0.2">
      <c r="B12" s="7" t="s">
        <v>47</v>
      </c>
    </row>
    <row r="13" spans="2:2" x14ac:dyDescent="0.2">
      <c r="B13" s="7"/>
    </row>
    <row r="14" spans="2:2" x14ac:dyDescent="0.2">
      <c r="B14" s="15" t="s">
        <v>30</v>
      </c>
    </row>
    <row r="15" spans="2:2" x14ac:dyDescent="0.2">
      <c r="B15" s="7" t="s">
        <v>37</v>
      </c>
    </row>
    <row r="16" spans="2:2" x14ac:dyDescent="0.2">
      <c r="B16" s="7" t="s">
        <v>57</v>
      </c>
    </row>
    <row r="17" spans="2:2" x14ac:dyDescent="0.2">
      <c r="B17" s="7" t="s">
        <v>38</v>
      </c>
    </row>
    <row r="18" spans="2:2" x14ac:dyDescent="0.2">
      <c r="B18" s="7" t="s">
        <v>39</v>
      </c>
    </row>
    <row r="19" spans="2:2" x14ac:dyDescent="0.2">
      <c r="B19" s="7" t="s">
        <v>63</v>
      </c>
    </row>
    <row r="20" spans="2:2" x14ac:dyDescent="0.2">
      <c r="B20" s="7" t="s">
        <v>64</v>
      </c>
    </row>
    <row r="21" spans="2:2" x14ac:dyDescent="0.2">
      <c r="B21" s="7" t="s">
        <v>48</v>
      </c>
    </row>
    <row r="22" spans="2:2" x14ac:dyDescent="0.2">
      <c r="B22" s="7"/>
    </row>
    <row r="23" spans="2:2" x14ac:dyDescent="0.2">
      <c r="B23" s="66" t="s">
        <v>68</v>
      </c>
    </row>
    <row r="24" spans="2:2" x14ac:dyDescent="0.2">
      <c r="B24" s="7"/>
    </row>
    <row r="25" spans="2:2" x14ac:dyDescent="0.2">
      <c r="B25" s="15" t="s">
        <v>14</v>
      </c>
    </row>
    <row r="26" spans="2:2" x14ac:dyDescent="0.2">
      <c r="B26" s="7" t="s">
        <v>65</v>
      </c>
    </row>
    <row r="27" spans="2:2" x14ac:dyDescent="0.2">
      <c r="B27" s="7" t="s">
        <v>66</v>
      </c>
    </row>
    <row r="28" spans="2:2" x14ac:dyDescent="0.2">
      <c r="B28" s="7" t="s">
        <v>33</v>
      </c>
    </row>
    <row r="29" spans="2:2" x14ac:dyDescent="0.2">
      <c r="B29" s="7" t="s">
        <v>49</v>
      </c>
    </row>
    <row r="30" spans="2:2" x14ac:dyDescent="0.2">
      <c r="B30" s="7"/>
    </row>
    <row r="31" spans="2:2" x14ac:dyDescent="0.2">
      <c r="B31" s="15" t="s">
        <v>29</v>
      </c>
    </row>
    <row r="32" spans="2:2" x14ac:dyDescent="0.2">
      <c r="B32" s="7" t="s">
        <v>50</v>
      </c>
    </row>
    <row r="33" spans="2:2" x14ac:dyDescent="0.2">
      <c r="B33" s="7" t="s">
        <v>67</v>
      </c>
    </row>
    <row r="34" spans="2:2" x14ac:dyDescent="0.2">
      <c r="B34" s="7" t="s">
        <v>52</v>
      </c>
    </row>
    <row r="35" spans="2:2" x14ac:dyDescent="0.2">
      <c r="B35" s="7" t="s">
        <v>51</v>
      </c>
    </row>
    <row r="36" spans="2:2" x14ac:dyDescent="0.2">
      <c r="B36" s="7" t="s">
        <v>53</v>
      </c>
    </row>
    <row r="37" spans="2:2" x14ac:dyDescent="0.2">
      <c r="B37" s="7" t="s">
        <v>56</v>
      </c>
    </row>
    <row r="38" spans="2:2" x14ac:dyDescent="0.2">
      <c r="B38" s="7" t="s">
        <v>54</v>
      </c>
    </row>
    <row r="39" spans="2:2" ht="13.5" thickBot="1" x14ac:dyDescent="0.25">
      <c r="B39" s="8"/>
    </row>
    <row r="40" spans="2:2" ht="13.5" thickBot="1" x14ac:dyDescent="0.25"/>
    <row r="41" spans="2:2" x14ac:dyDescent="0.2">
      <c r="B41" s="9" t="s">
        <v>22</v>
      </c>
    </row>
    <row r="42" spans="2:2" x14ac:dyDescent="0.2">
      <c r="B42" s="10" t="s">
        <v>55</v>
      </c>
    </row>
    <row r="43" spans="2:2" x14ac:dyDescent="0.2">
      <c r="B43" s="11" t="s">
        <v>34</v>
      </c>
    </row>
    <row r="44" spans="2:2" x14ac:dyDescent="0.2">
      <c r="B44" s="12" t="s">
        <v>24</v>
      </c>
    </row>
    <row r="45" spans="2:2" x14ac:dyDescent="0.2">
      <c r="B45" s="11" t="s">
        <v>35</v>
      </c>
    </row>
    <row r="46" spans="2:2" x14ac:dyDescent="0.2">
      <c r="B46" s="11" t="s">
        <v>23</v>
      </c>
    </row>
    <row r="47" spans="2:2" ht="13.5" thickBot="1" x14ac:dyDescent="0.25">
      <c r="B47" s="13" t="s">
        <v>36</v>
      </c>
    </row>
    <row r="48" spans="2:2" x14ac:dyDescent="0.2">
      <c r="B48" s="1"/>
    </row>
  </sheetData>
  <sheetProtection sheet="1" objects="1" scenarios="1" selectLockedCells="1" selectUnlockedCells="1"/>
  <customSheetViews>
    <customSheetView guid="{5C9AFCBE-E352-4226-8750-F441413CCE21}" topLeftCell="A4">
      <selection activeCell="B25" sqref="B25"/>
      <pageMargins left="0.7" right="0.7" top="0.75" bottom="0.75" header="0.3" footer="0.3"/>
      <pageSetup paperSize="9" orientation="portrait" r:id="rId1"/>
    </customSheetView>
  </customSheetView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AH71"/>
  <sheetViews>
    <sheetView showGridLines="0" tabSelected="1" zoomScaleNormal="100" workbookViewId="0">
      <pane xSplit="6" ySplit="2" topLeftCell="G34" activePane="bottomRight" state="frozen"/>
      <selection pane="topRight" activeCell="F1" sqref="F1"/>
      <selection pane="bottomLeft" activeCell="A3" sqref="A3"/>
      <selection pane="bottomRight" activeCell="M53" sqref="M53"/>
    </sheetView>
  </sheetViews>
  <sheetFormatPr defaultRowHeight="12.75" x14ac:dyDescent="0.2"/>
  <cols>
    <col min="1" max="1" width="1.42578125" style="28" customWidth="1"/>
    <col min="2" max="2" width="4.42578125" style="28" customWidth="1"/>
    <col min="3" max="3" width="13" style="40" customWidth="1"/>
    <col min="4" max="4" width="24.85546875" style="40" customWidth="1"/>
    <col min="5" max="5" width="19.7109375" style="40" customWidth="1"/>
    <col min="6" max="6" width="12.5703125" style="40" customWidth="1"/>
    <col min="7" max="8" width="11.28515625" style="40" customWidth="1"/>
    <col min="9" max="11" width="8.7109375" style="40" customWidth="1"/>
    <col min="12" max="12" width="11.28515625" style="41" bestFit="1" customWidth="1"/>
    <col min="13" max="13" width="11.28515625" style="41" customWidth="1"/>
    <col min="14" max="14" width="8.7109375" style="41" customWidth="1"/>
    <col min="15" max="15" width="4.85546875" style="42" customWidth="1"/>
    <col min="16" max="23" width="4.85546875" style="28" customWidth="1"/>
    <col min="24" max="24" width="43.42578125" style="28" customWidth="1"/>
    <col min="25" max="33" width="2.85546875" style="28" customWidth="1"/>
    <col min="34" max="189" width="9.140625" style="28"/>
    <col min="190" max="190" width="40.7109375" style="28" customWidth="1"/>
    <col min="191" max="191" width="10.7109375" style="28" customWidth="1"/>
    <col min="192" max="201" width="12.7109375" style="28" customWidth="1"/>
    <col min="202" max="445" width="9.140625" style="28"/>
    <col min="446" max="446" width="40.7109375" style="28" customWidth="1"/>
    <col min="447" max="447" width="10.7109375" style="28" customWidth="1"/>
    <col min="448" max="457" width="12.7109375" style="28" customWidth="1"/>
    <col min="458" max="701" width="9.140625" style="28"/>
    <col min="702" max="702" width="40.7109375" style="28" customWidth="1"/>
    <col min="703" max="703" width="10.7109375" style="28" customWidth="1"/>
    <col min="704" max="713" width="12.7109375" style="28" customWidth="1"/>
    <col min="714" max="957" width="9.140625" style="28"/>
    <col min="958" max="958" width="40.7109375" style="28" customWidth="1"/>
    <col min="959" max="959" width="10.7109375" style="28" customWidth="1"/>
    <col min="960" max="969" width="12.7109375" style="28" customWidth="1"/>
    <col min="970" max="1213" width="9.140625" style="28"/>
    <col min="1214" max="1214" width="40.7109375" style="28" customWidth="1"/>
    <col min="1215" max="1215" width="10.7109375" style="28" customWidth="1"/>
    <col min="1216" max="1225" width="12.7109375" style="28" customWidth="1"/>
    <col min="1226" max="1469" width="9.140625" style="28"/>
    <col min="1470" max="1470" width="40.7109375" style="28" customWidth="1"/>
    <col min="1471" max="1471" width="10.7109375" style="28" customWidth="1"/>
    <col min="1472" max="1481" width="12.7109375" style="28" customWidth="1"/>
    <col min="1482" max="1725" width="9.140625" style="28"/>
    <col min="1726" max="1726" width="40.7109375" style="28" customWidth="1"/>
    <col min="1727" max="1727" width="10.7109375" style="28" customWidth="1"/>
    <col min="1728" max="1737" width="12.7109375" style="28" customWidth="1"/>
    <col min="1738" max="1981" width="9.140625" style="28"/>
    <col min="1982" max="1982" width="40.7109375" style="28" customWidth="1"/>
    <col min="1983" max="1983" width="10.7109375" style="28" customWidth="1"/>
    <col min="1984" max="1993" width="12.7109375" style="28" customWidth="1"/>
    <col min="1994" max="2237" width="9.140625" style="28"/>
    <col min="2238" max="2238" width="40.7109375" style="28" customWidth="1"/>
    <col min="2239" max="2239" width="10.7109375" style="28" customWidth="1"/>
    <col min="2240" max="2249" width="12.7109375" style="28" customWidth="1"/>
    <col min="2250" max="2493" width="9.140625" style="28"/>
    <col min="2494" max="2494" width="40.7109375" style="28" customWidth="1"/>
    <col min="2495" max="2495" width="10.7109375" style="28" customWidth="1"/>
    <col min="2496" max="2505" width="12.7109375" style="28" customWidth="1"/>
    <col min="2506" max="2749" width="9.140625" style="28"/>
    <col min="2750" max="2750" width="40.7109375" style="28" customWidth="1"/>
    <col min="2751" max="2751" width="10.7109375" style="28" customWidth="1"/>
    <col min="2752" max="2761" width="12.7109375" style="28" customWidth="1"/>
    <col min="2762" max="3005" width="9.140625" style="28"/>
    <col min="3006" max="3006" width="40.7109375" style="28" customWidth="1"/>
    <col min="3007" max="3007" width="10.7109375" style="28" customWidth="1"/>
    <col min="3008" max="3017" width="12.7109375" style="28" customWidth="1"/>
    <col min="3018" max="3261" width="9.140625" style="28"/>
    <col min="3262" max="3262" width="40.7109375" style="28" customWidth="1"/>
    <col min="3263" max="3263" width="10.7109375" style="28" customWidth="1"/>
    <col min="3264" max="3273" width="12.7109375" style="28" customWidth="1"/>
    <col min="3274" max="3517" width="9.140625" style="28"/>
    <col min="3518" max="3518" width="40.7109375" style="28" customWidth="1"/>
    <col min="3519" max="3519" width="10.7109375" style="28" customWidth="1"/>
    <col min="3520" max="3529" width="12.7109375" style="28" customWidth="1"/>
    <col min="3530" max="3773" width="9.140625" style="28"/>
    <col min="3774" max="3774" width="40.7109375" style="28" customWidth="1"/>
    <col min="3775" max="3775" width="10.7109375" style="28" customWidth="1"/>
    <col min="3776" max="3785" width="12.7109375" style="28" customWidth="1"/>
    <col min="3786" max="4029" width="9.140625" style="28"/>
    <col min="4030" max="4030" width="40.7109375" style="28" customWidth="1"/>
    <col min="4031" max="4031" width="10.7109375" style="28" customWidth="1"/>
    <col min="4032" max="4041" width="12.7109375" style="28" customWidth="1"/>
    <col min="4042" max="4285" width="9.140625" style="28"/>
    <col min="4286" max="4286" width="40.7109375" style="28" customWidth="1"/>
    <col min="4287" max="4287" width="10.7109375" style="28" customWidth="1"/>
    <col min="4288" max="4297" width="12.7109375" style="28" customWidth="1"/>
    <col min="4298" max="4541" width="9.140625" style="28"/>
    <col min="4542" max="4542" width="40.7109375" style="28" customWidth="1"/>
    <col min="4543" max="4543" width="10.7109375" style="28" customWidth="1"/>
    <col min="4544" max="4553" width="12.7109375" style="28" customWidth="1"/>
    <col min="4554" max="4797" width="9.140625" style="28"/>
    <col min="4798" max="4798" width="40.7109375" style="28" customWidth="1"/>
    <col min="4799" max="4799" width="10.7109375" style="28" customWidth="1"/>
    <col min="4800" max="4809" width="12.7109375" style="28" customWidth="1"/>
    <col min="4810" max="5053" width="9.140625" style="28"/>
    <col min="5054" max="5054" width="40.7109375" style="28" customWidth="1"/>
    <col min="5055" max="5055" width="10.7109375" style="28" customWidth="1"/>
    <col min="5056" max="5065" width="12.7109375" style="28" customWidth="1"/>
    <col min="5066" max="5309" width="9.140625" style="28"/>
    <col min="5310" max="5310" width="40.7109375" style="28" customWidth="1"/>
    <col min="5311" max="5311" width="10.7109375" style="28" customWidth="1"/>
    <col min="5312" max="5321" width="12.7109375" style="28" customWidth="1"/>
    <col min="5322" max="5565" width="9.140625" style="28"/>
    <col min="5566" max="5566" width="40.7109375" style="28" customWidth="1"/>
    <col min="5567" max="5567" width="10.7109375" style="28" customWidth="1"/>
    <col min="5568" max="5577" width="12.7109375" style="28" customWidth="1"/>
    <col min="5578" max="5821" width="9.140625" style="28"/>
    <col min="5822" max="5822" width="40.7109375" style="28" customWidth="1"/>
    <col min="5823" max="5823" width="10.7109375" style="28" customWidth="1"/>
    <col min="5824" max="5833" width="12.7109375" style="28" customWidth="1"/>
    <col min="5834" max="6077" width="9.140625" style="28"/>
    <col min="6078" max="6078" width="40.7109375" style="28" customWidth="1"/>
    <col min="6079" max="6079" width="10.7109375" style="28" customWidth="1"/>
    <col min="6080" max="6089" width="12.7109375" style="28" customWidth="1"/>
    <col min="6090" max="6333" width="9.140625" style="28"/>
    <col min="6334" max="6334" width="40.7109375" style="28" customWidth="1"/>
    <col min="6335" max="6335" width="10.7109375" style="28" customWidth="1"/>
    <col min="6336" max="6345" width="12.7109375" style="28" customWidth="1"/>
    <col min="6346" max="6589" width="9.140625" style="28"/>
    <col min="6590" max="6590" width="40.7109375" style="28" customWidth="1"/>
    <col min="6591" max="6591" width="10.7109375" style="28" customWidth="1"/>
    <col min="6592" max="6601" width="12.7109375" style="28" customWidth="1"/>
    <col min="6602" max="6845" width="9.140625" style="28"/>
    <col min="6846" max="6846" width="40.7109375" style="28" customWidth="1"/>
    <col min="6847" max="6847" width="10.7109375" style="28" customWidth="1"/>
    <col min="6848" max="6857" width="12.7109375" style="28" customWidth="1"/>
    <col min="6858" max="7101" width="9.140625" style="28"/>
    <col min="7102" max="7102" width="40.7109375" style="28" customWidth="1"/>
    <col min="7103" max="7103" width="10.7109375" style="28" customWidth="1"/>
    <col min="7104" max="7113" width="12.7109375" style="28" customWidth="1"/>
    <col min="7114" max="7357" width="9.140625" style="28"/>
    <col min="7358" max="7358" width="40.7109375" style="28" customWidth="1"/>
    <col min="7359" max="7359" width="10.7109375" style="28" customWidth="1"/>
    <col min="7360" max="7369" width="12.7109375" style="28" customWidth="1"/>
    <col min="7370" max="7613" width="9.140625" style="28"/>
    <col min="7614" max="7614" width="40.7109375" style="28" customWidth="1"/>
    <col min="7615" max="7615" width="10.7109375" style="28" customWidth="1"/>
    <col min="7616" max="7625" width="12.7109375" style="28" customWidth="1"/>
    <col min="7626" max="7869" width="9.140625" style="28"/>
    <col min="7870" max="7870" width="40.7109375" style="28" customWidth="1"/>
    <col min="7871" max="7871" width="10.7109375" style="28" customWidth="1"/>
    <col min="7872" max="7881" width="12.7109375" style="28" customWidth="1"/>
    <col min="7882" max="8125" width="9.140625" style="28"/>
    <col min="8126" max="8126" width="40.7109375" style="28" customWidth="1"/>
    <col min="8127" max="8127" width="10.7109375" style="28" customWidth="1"/>
    <col min="8128" max="8137" width="12.7109375" style="28" customWidth="1"/>
    <col min="8138" max="8381" width="9.140625" style="28"/>
    <col min="8382" max="8382" width="40.7109375" style="28" customWidth="1"/>
    <col min="8383" max="8383" width="10.7109375" style="28" customWidth="1"/>
    <col min="8384" max="8393" width="12.7109375" style="28" customWidth="1"/>
    <col min="8394" max="8637" width="9.140625" style="28"/>
    <col min="8638" max="8638" width="40.7109375" style="28" customWidth="1"/>
    <col min="8639" max="8639" width="10.7109375" style="28" customWidth="1"/>
    <col min="8640" max="8649" width="12.7109375" style="28" customWidth="1"/>
    <col min="8650" max="8893" width="9.140625" style="28"/>
    <col min="8894" max="8894" width="40.7109375" style="28" customWidth="1"/>
    <col min="8895" max="8895" width="10.7109375" style="28" customWidth="1"/>
    <col min="8896" max="8905" width="12.7109375" style="28" customWidth="1"/>
    <col min="8906" max="9149" width="9.140625" style="28"/>
    <col min="9150" max="9150" width="40.7109375" style="28" customWidth="1"/>
    <col min="9151" max="9151" width="10.7109375" style="28" customWidth="1"/>
    <col min="9152" max="9161" width="12.7109375" style="28" customWidth="1"/>
    <col min="9162" max="9405" width="9.140625" style="28"/>
    <col min="9406" max="9406" width="40.7109375" style="28" customWidth="1"/>
    <col min="9407" max="9407" width="10.7109375" style="28" customWidth="1"/>
    <col min="9408" max="9417" width="12.7109375" style="28" customWidth="1"/>
    <col min="9418" max="9661" width="9.140625" style="28"/>
    <col min="9662" max="9662" width="40.7109375" style="28" customWidth="1"/>
    <col min="9663" max="9663" width="10.7109375" style="28" customWidth="1"/>
    <col min="9664" max="9673" width="12.7109375" style="28" customWidth="1"/>
    <col min="9674" max="9917" width="9.140625" style="28"/>
    <col min="9918" max="9918" width="40.7109375" style="28" customWidth="1"/>
    <col min="9919" max="9919" width="10.7109375" style="28" customWidth="1"/>
    <col min="9920" max="9929" width="12.7109375" style="28" customWidth="1"/>
    <col min="9930" max="10173" width="9.140625" style="28"/>
    <col min="10174" max="10174" width="40.7109375" style="28" customWidth="1"/>
    <col min="10175" max="10175" width="10.7109375" style="28" customWidth="1"/>
    <col min="10176" max="10185" width="12.7109375" style="28" customWidth="1"/>
    <col min="10186" max="10429" width="9.140625" style="28"/>
    <col min="10430" max="10430" width="40.7109375" style="28" customWidth="1"/>
    <col min="10431" max="10431" width="10.7109375" style="28" customWidth="1"/>
    <col min="10432" max="10441" width="12.7109375" style="28" customWidth="1"/>
    <col min="10442" max="10685" width="9.140625" style="28"/>
    <col min="10686" max="10686" width="40.7109375" style="28" customWidth="1"/>
    <col min="10687" max="10687" width="10.7109375" style="28" customWidth="1"/>
    <col min="10688" max="10697" width="12.7109375" style="28" customWidth="1"/>
    <col min="10698" max="10941" width="9.140625" style="28"/>
    <col min="10942" max="10942" width="40.7109375" style="28" customWidth="1"/>
    <col min="10943" max="10943" width="10.7109375" style="28" customWidth="1"/>
    <col min="10944" max="10953" width="12.7109375" style="28" customWidth="1"/>
    <col min="10954" max="11197" width="9.140625" style="28"/>
    <col min="11198" max="11198" width="40.7109375" style="28" customWidth="1"/>
    <col min="11199" max="11199" width="10.7109375" style="28" customWidth="1"/>
    <col min="11200" max="11209" width="12.7109375" style="28" customWidth="1"/>
    <col min="11210" max="11453" width="9.140625" style="28"/>
    <col min="11454" max="11454" width="40.7109375" style="28" customWidth="1"/>
    <col min="11455" max="11455" width="10.7109375" style="28" customWidth="1"/>
    <col min="11456" max="11465" width="12.7109375" style="28" customWidth="1"/>
    <col min="11466" max="11709" width="9.140625" style="28"/>
    <col min="11710" max="11710" width="40.7109375" style="28" customWidth="1"/>
    <col min="11711" max="11711" width="10.7109375" style="28" customWidth="1"/>
    <col min="11712" max="11721" width="12.7109375" style="28" customWidth="1"/>
    <col min="11722" max="11965" width="9.140625" style="28"/>
    <col min="11966" max="11966" width="40.7109375" style="28" customWidth="1"/>
    <col min="11967" max="11967" width="10.7109375" style="28" customWidth="1"/>
    <col min="11968" max="11977" width="12.7109375" style="28" customWidth="1"/>
    <col min="11978" max="12221" width="9.140625" style="28"/>
    <col min="12222" max="12222" width="40.7109375" style="28" customWidth="1"/>
    <col min="12223" max="12223" width="10.7109375" style="28" customWidth="1"/>
    <col min="12224" max="12233" width="12.7109375" style="28" customWidth="1"/>
    <col min="12234" max="12477" width="9.140625" style="28"/>
    <col min="12478" max="12478" width="40.7109375" style="28" customWidth="1"/>
    <col min="12479" max="12479" width="10.7109375" style="28" customWidth="1"/>
    <col min="12480" max="12489" width="12.7109375" style="28" customWidth="1"/>
    <col min="12490" max="12733" width="9.140625" style="28"/>
    <col min="12734" max="12734" width="40.7109375" style="28" customWidth="1"/>
    <col min="12735" max="12735" width="10.7109375" style="28" customWidth="1"/>
    <col min="12736" max="12745" width="12.7109375" style="28" customWidth="1"/>
    <col min="12746" max="12989" width="9.140625" style="28"/>
    <col min="12990" max="12990" width="40.7109375" style="28" customWidth="1"/>
    <col min="12991" max="12991" width="10.7109375" style="28" customWidth="1"/>
    <col min="12992" max="13001" width="12.7109375" style="28" customWidth="1"/>
    <col min="13002" max="13245" width="9.140625" style="28"/>
    <col min="13246" max="13246" width="40.7109375" style="28" customWidth="1"/>
    <col min="13247" max="13247" width="10.7109375" style="28" customWidth="1"/>
    <col min="13248" max="13257" width="12.7109375" style="28" customWidth="1"/>
    <col min="13258" max="13501" width="9.140625" style="28"/>
    <col min="13502" max="13502" width="40.7109375" style="28" customWidth="1"/>
    <col min="13503" max="13503" width="10.7109375" style="28" customWidth="1"/>
    <col min="13504" max="13513" width="12.7109375" style="28" customWidth="1"/>
    <col min="13514" max="13757" width="9.140625" style="28"/>
    <col min="13758" max="13758" width="40.7109375" style="28" customWidth="1"/>
    <col min="13759" max="13759" width="10.7109375" style="28" customWidth="1"/>
    <col min="13760" max="13769" width="12.7109375" style="28" customWidth="1"/>
    <col min="13770" max="14013" width="9.140625" style="28"/>
    <col min="14014" max="14014" width="40.7109375" style="28" customWidth="1"/>
    <col min="14015" max="14015" width="10.7109375" style="28" customWidth="1"/>
    <col min="14016" max="14025" width="12.7109375" style="28" customWidth="1"/>
    <col min="14026" max="14269" width="9.140625" style="28"/>
    <col min="14270" max="14270" width="40.7109375" style="28" customWidth="1"/>
    <col min="14271" max="14271" width="10.7109375" style="28" customWidth="1"/>
    <col min="14272" max="14281" width="12.7109375" style="28" customWidth="1"/>
    <col min="14282" max="14525" width="9.140625" style="28"/>
    <col min="14526" max="14526" width="40.7109375" style="28" customWidth="1"/>
    <col min="14527" max="14527" width="10.7109375" style="28" customWidth="1"/>
    <col min="14528" max="14537" width="12.7109375" style="28" customWidth="1"/>
    <col min="14538" max="14781" width="9.140625" style="28"/>
    <col min="14782" max="14782" width="40.7109375" style="28" customWidth="1"/>
    <col min="14783" max="14783" width="10.7109375" style="28" customWidth="1"/>
    <col min="14784" max="14793" width="12.7109375" style="28" customWidth="1"/>
    <col min="14794" max="15037" width="9.140625" style="28"/>
    <col min="15038" max="15038" width="40.7109375" style="28" customWidth="1"/>
    <col min="15039" max="15039" width="10.7109375" style="28" customWidth="1"/>
    <col min="15040" max="15049" width="12.7109375" style="28" customWidth="1"/>
    <col min="15050" max="15293" width="9.140625" style="28"/>
    <col min="15294" max="15294" width="40.7109375" style="28" customWidth="1"/>
    <col min="15295" max="15295" width="10.7109375" style="28" customWidth="1"/>
    <col min="15296" max="15305" width="12.7109375" style="28" customWidth="1"/>
    <col min="15306" max="15549" width="9.140625" style="28"/>
    <col min="15550" max="15550" width="40.7109375" style="28" customWidth="1"/>
    <col min="15551" max="15551" width="10.7109375" style="28" customWidth="1"/>
    <col min="15552" max="15561" width="12.7109375" style="28" customWidth="1"/>
    <col min="15562" max="15805" width="9.140625" style="28"/>
    <col min="15806" max="15806" width="40.7109375" style="28" customWidth="1"/>
    <col min="15807" max="15807" width="10.7109375" style="28" customWidth="1"/>
    <col min="15808" max="15817" width="12.7109375" style="28" customWidth="1"/>
    <col min="15818" max="16061" width="9.140625" style="28"/>
    <col min="16062" max="16062" width="40.7109375" style="28" customWidth="1"/>
    <col min="16063" max="16063" width="10.7109375" style="28" customWidth="1"/>
    <col min="16064" max="16073" width="12.7109375" style="28" customWidth="1"/>
    <col min="16074" max="16384" width="9.140625" style="28"/>
  </cols>
  <sheetData>
    <row r="1" spans="1:34" s="22" customFormat="1" ht="12.75" customHeight="1" x14ac:dyDescent="0.2">
      <c r="A1" s="18"/>
      <c r="B1" s="18"/>
      <c r="C1" s="19"/>
      <c r="D1" s="19"/>
      <c r="E1" s="19"/>
      <c r="F1" s="19"/>
      <c r="G1" s="92" t="s">
        <v>9</v>
      </c>
      <c r="H1" s="93"/>
      <c r="I1" s="93"/>
      <c r="J1" s="93"/>
      <c r="K1" s="94"/>
      <c r="L1" s="95" t="s">
        <v>11</v>
      </c>
      <c r="M1" s="96"/>
      <c r="N1" s="97"/>
      <c r="O1" s="20" t="s">
        <v>21</v>
      </c>
      <c r="P1" s="21"/>
      <c r="Q1" s="21"/>
      <c r="R1" s="21"/>
      <c r="S1" s="21"/>
      <c r="T1" s="21"/>
      <c r="U1" s="21"/>
      <c r="V1" s="21"/>
      <c r="W1" s="21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</row>
    <row r="2" spans="1:34" ht="51" x14ac:dyDescent="0.2">
      <c r="A2" s="18"/>
      <c r="B2" s="23" t="s">
        <v>1</v>
      </c>
      <c r="C2" s="24" t="s">
        <v>2</v>
      </c>
      <c r="D2" s="24" t="s">
        <v>3</v>
      </c>
      <c r="E2" s="24" t="s">
        <v>4</v>
      </c>
      <c r="F2" s="23" t="s">
        <v>5</v>
      </c>
      <c r="G2" s="25" t="s">
        <v>6</v>
      </c>
      <c r="H2" s="25" t="s">
        <v>10</v>
      </c>
      <c r="I2" s="25" t="s">
        <v>28</v>
      </c>
      <c r="J2" s="25" t="s">
        <v>58</v>
      </c>
      <c r="K2" s="25" t="s">
        <v>26</v>
      </c>
      <c r="L2" s="26" t="s">
        <v>12</v>
      </c>
      <c r="M2" s="26" t="s">
        <v>8</v>
      </c>
      <c r="N2" s="38" t="s">
        <v>27</v>
      </c>
      <c r="O2" s="27">
        <f>IF(ISBLANK($G$3),40179,G3)</f>
        <v>41372</v>
      </c>
      <c r="P2" s="27">
        <f>O2+7+ISNUMBER(MATCH(O2+7,$Z$2:$AG$2,0))*7</f>
        <v>41379</v>
      </c>
      <c r="Q2" s="27">
        <f>P2+7+ISNUMBER(MATCH(P2+7,$Z$2:$AG$2,0))*7</f>
        <v>41386</v>
      </c>
      <c r="R2" s="27">
        <f>Q2+7+ISNUMBER(MATCH(Q2+7,$Z$2:$AG$2,0))*7</f>
        <v>41393</v>
      </c>
      <c r="S2" s="27">
        <f>R2+7+ISNUMBER(MATCH(R2+7,$Z$2:$AG$2,0))*7</f>
        <v>41400</v>
      </c>
      <c r="T2" s="27">
        <f>S2+7+ISNUMBER(MATCH(S2+7,$Z$2:$AG$2,0))*7</f>
        <v>41407</v>
      </c>
      <c r="U2" s="27">
        <f>T2+7+ISNUMBER(MATCH(T2+7,$Z$2:$AG$2,0))*7</f>
        <v>41414</v>
      </c>
      <c r="V2" s="27">
        <f>U2+7+ISNUMBER(MATCH(U2+7,$Z$2:$AG$2,0))*7</f>
        <v>41421</v>
      </c>
      <c r="W2" s="27">
        <f>V2+7+ISNUMBER(MATCH(V2+7,$Z$2:$AG$2,0))*7</f>
        <v>41428</v>
      </c>
      <c r="X2" s="44" t="s">
        <v>13</v>
      </c>
      <c r="Y2" s="54" t="s">
        <v>16</v>
      </c>
      <c r="Z2" s="52"/>
      <c r="AA2" s="52"/>
      <c r="AB2" s="52"/>
      <c r="AC2" s="52"/>
      <c r="AD2" s="52"/>
      <c r="AE2" s="52"/>
      <c r="AF2" s="52"/>
      <c r="AG2" s="53"/>
      <c r="AH2" s="18"/>
    </row>
    <row r="3" spans="1:34" ht="39" customHeight="1" x14ac:dyDescent="0.2">
      <c r="A3" s="18"/>
      <c r="B3" s="4">
        <v>1</v>
      </c>
      <c r="C3" s="68" t="s">
        <v>69</v>
      </c>
      <c r="D3" s="68" t="s">
        <v>70</v>
      </c>
      <c r="E3" s="68" t="s">
        <v>17</v>
      </c>
      <c r="F3" s="89" t="s">
        <v>122</v>
      </c>
      <c r="G3" s="45">
        <v>41372</v>
      </c>
      <c r="H3" s="45">
        <v>41379</v>
      </c>
      <c r="I3" s="46"/>
      <c r="J3" s="43">
        <v>1</v>
      </c>
      <c r="K3" s="3">
        <v>13</v>
      </c>
      <c r="L3" s="55">
        <f t="array" ref="L3">IF(ISNA(INDEX($O$2:$DA$2,1,MATCH(1,IF($O3:$DM3,1),0))),"",INDEX($O$2:$DA$2,1,MATCH(1,IF($O3:$DM3,1),0)))</f>
        <v>41372</v>
      </c>
      <c r="M3" s="55">
        <f>IF(ISNA(MATCH("X",O3:W3,0)),"",INDEX($O$2:$X$2,1,MATCH("X",O3:W3,0)-1))</f>
        <v>41372</v>
      </c>
      <c r="N3" s="56">
        <f>SUM(O3:CG3)</f>
        <v>5.25</v>
      </c>
      <c r="O3" s="51">
        <v>5.25</v>
      </c>
      <c r="P3" s="51" t="s">
        <v>124</v>
      </c>
      <c r="Q3" s="51" t="str">
        <f t="shared" ref="Q3:R3" si="0">IF(ISNUMBER(P3)," ",IF(P3="X","X"," "))</f>
        <v>X</v>
      </c>
      <c r="R3" s="51" t="str">
        <f t="shared" si="0"/>
        <v>X</v>
      </c>
      <c r="S3" s="51" t="str">
        <f>IF(ISNUMBER(R3)," ",IF(R3="X","X"," "))</f>
        <v>X</v>
      </c>
      <c r="T3" s="51" t="str">
        <f>IF(ISNUMBER(S3)," ",IF(S3="X","X"," "))</f>
        <v>X</v>
      </c>
      <c r="U3" s="51" t="str">
        <f>IF(ISNUMBER(T3)," ",IF(T3="X","X"," "))</f>
        <v>X</v>
      </c>
      <c r="V3" s="51" t="str">
        <f>IF(ISNUMBER(U3)," ",IF(U3="X","X"," "))</f>
        <v>X</v>
      </c>
      <c r="W3" s="51" t="str">
        <f>IF(ISNUMBER(V3)," ",IF(V3="X","X"," "))</f>
        <v>X</v>
      </c>
      <c r="X3" s="5"/>
      <c r="Y3" s="18"/>
      <c r="Z3" s="18"/>
      <c r="AA3" s="18"/>
      <c r="AB3" s="18"/>
      <c r="AC3" s="18"/>
      <c r="AD3" s="18"/>
      <c r="AE3" s="18"/>
      <c r="AF3" s="18"/>
      <c r="AG3" s="18"/>
      <c r="AH3" s="18"/>
    </row>
    <row r="4" spans="1:34" ht="25.5" x14ac:dyDescent="0.2">
      <c r="A4" s="18"/>
      <c r="B4" s="4">
        <v>2</v>
      </c>
      <c r="C4" s="68" t="s">
        <v>69</v>
      </c>
      <c r="D4" s="68" t="s">
        <v>71</v>
      </c>
      <c r="E4" s="68"/>
      <c r="F4" s="89" t="s">
        <v>113</v>
      </c>
      <c r="G4" s="45">
        <v>41372</v>
      </c>
      <c r="H4" s="45">
        <v>41379</v>
      </c>
      <c r="I4" s="76">
        <v>1</v>
      </c>
      <c r="J4" s="43">
        <v>1</v>
      </c>
      <c r="K4" s="3">
        <v>13</v>
      </c>
      <c r="L4" s="55">
        <f t="array" ref="L4">IF(ISNA(INDEX($O$2:$DA$2,1,MATCH(1,IF($O4:$DM4,1),0))),"",INDEX($O$2:$DA$2,1,MATCH(1,IF($O4:$DM4,1),0)))</f>
        <v>41372</v>
      </c>
      <c r="M4" s="55">
        <f>IF(ISNA(MATCH("X",O4:W4,0)),"",INDEX($O$2:$X$2,1,MATCH("X",O4:W4,0)-1))</f>
        <v>41372</v>
      </c>
      <c r="N4" s="56">
        <f t="shared" ref="N4:N39" si="1">SUM(O4:CG4)</f>
        <v>10.5</v>
      </c>
      <c r="O4" s="51">
        <v>10.5</v>
      </c>
      <c r="P4" s="51" t="s">
        <v>123</v>
      </c>
      <c r="Q4" s="51" t="s">
        <v>123</v>
      </c>
      <c r="R4" s="51" t="s">
        <v>123</v>
      </c>
      <c r="S4" s="51" t="s">
        <v>123</v>
      </c>
      <c r="T4" s="51" t="s">
        <v>123</v>
      </c>
      <c r="U4" s="51" t="s">
        <v>123</v>
      </c>
      <c r="V4" s="51" t="s">
        <v>124</v>
      </c>
      <c r="W4" s="51" t="s">
        <v>123</v>
      </c>
      <c r="X4" s="5"/>
      <c r="Y4" s="18"/>
      <c r="Z4" s="18"/>
      <c r="AA4" s="18"/>
      <c r="AB4" s="18"/>
      <c r="AC4" s="18"/>
      <c r="AD4" s="18"/>
      <c r="AE4" s="18"/>
      <c r="AF4" s="18"/>
      <c r="AG4" s="18"/>
      <c r="AH4" s="18"/>
    </row>
    <row r="5" spans="1:34" ht="25.5" x14ac:dyDescent="0.2">
      <c r="A5" s="18"/>
      <c r="B5" s="4">
        <v>3</v>
      </c>
      <c r="C5" s="68" t="s">
        <v>69</v>
      </c>
      <c r="D5" s="68" t="s">
        <v>72</v>
      </c>
      <c r="E5" s="68"/>
      <c r="F5" s="89" t="s">
        <v>122</v>
      </c>
      <c r="G5" s="45">
        <v>41384</v>
      </c>
      <c r="H5" s="45">
        <v>41393</v>
      </c>
      <c r="I5" s="46"/>
      <c r="J5" s="43">
        <v>1</v>
      </c>
      <c r="K5" s="3">
        <v>0.75</v>
      </c>
      <c r="L5" s="55" t="str">
        <f t="array" ref="L5">IF(ISNA(INDEX($O$2:$DA$2,1,MATCH(1,IF($O5:$DM5,1),0))),"",INDEX($O$2:$DA$2,1,MATCH(1,IF($O5:$DM5,1),0)))</f>
        <v/>
      </c>
      <c r="M5" s="55" t="str">
        <f>IF(ISNA(MATCH("X",O5:W5,0)),"",INDEX($O$2:$X$2,1,MATCH("X",O5:W5,0)-1))</f>
        <v/>
      </c>
      <c r="N5" s="56">
        <f t="shared" si="1"/>
        <v>0</v>
      </c>
      <c r="O5" s="51"/>
      <c r="P5" s="51"/>
      <c r="Q5" s="51"/>
      <c r="R5" s="51"/>
      <c r="S5" s="51"/>
      <c r="T5" s="51"/>
      <c r="U5" s="51"/>
      <c r="V5" s="51"/>
      <c r="W5" s="51"/>
      <c r="X5" s="5"/>
      <c r="Y5" s="18"/>
      <c r="Z5" s="18"/>
      <c r="AA5" s="18"/>
      <c r="AB5" s="18"/>
      <c r="AC5" s="18"/>
      <c r="AD5" s="18"/>
      <c r="AE5" s="18"/>
      <c r="AF5" s="18"/>
      <c r="AG5" s="18"/>
      <c r="AH5" s="18"/>
    </row>
    <row r="6" spans="1:34" ht="25.5" x14ac:dyDescent="0.2">
      <c r="A6" s="18"/>
      <c r="B6" s="4">
        <v>4</v>
      </c>
      <c r="C6" s="68" t="s">
        <v>69</v>
      </c>
      <c r="D6" s="68" t="s">
        <v>73</v>
      </c>
      <c r="E6" s="68"/>
      <c r="F6" s="89" t="s">
        <v>114</v>
      </c>
      <c r="G6" s="45">
        <v>41372</v>
      </c>
      <c r="H6" s="45">
        <v>41393</v>
      </c>
      <c r="I6" s="76">
        <v>1</v>
      </c>
      <c r="J6" s="43">
        <v>3</v>
      </c>
      <c r="K6" s="3">
        <v>20</v>
      </c>
      <c r="L6" s="55">
        <f t="array" ref="L6">IF(ISNA(INDEX($O$2:$DA$2,1,MATCH(1,IF($O6:$DM6,1),0))),"",INDEX($O$2:$DA$2,1,MATCH(1,IF($O6:$DM6,1),0)))</f>
        <v>41372</v>
      </c>
      <c r="M6" s="55" t="str">
        <f>IF(ISNA(MATCH("X",O6:W6,0)),"",INDEX($O$2:$X$2,1,MATCH("X",O6:W6,0)-1))</f>
        <v/>
      </c>
      <c r="N6" s="56">
        <f t="shared" si="1"/>
        <v>6</v>
      </c>
      <c r="O6" s="51">
        <v>6</v>
      </c>
      <c r="P6" s="51"/>
      <c r="Q6" s="51"/>
      <c r="R6" s="51"/>
      <c r="S6" s="51"/>
      <c r="T6" s="51"/>
      <c r="U6" s="51"/>
      <c r="V6" s="51"/>
      <c r="W6" s="51"/>
      <c r="X6" s="5"/>
      <c r="Y6" s="18"/>
      <c r="Z6" s="18"/>
      <c r="AA6" s="18"/>
      <c r="AB6" s="18"/>
      <c r="AC6" s="18"/>
      <c r="AD6" s="18"/>
      <c r="AE6" s="18"/>
      <c r="AF6" s="18"/>
      <c r="AG6" s="18"/>
      <c r="AH6" s="18"/>
    </row>
    <row r="7" spans="1:34" ht="25.5" x14ac:dyDescent="0.2">
      <c r="A7" s="18"/>
      <c r="B7" s="4">
        <v>5</v>
      </c>
      <c r="C7" s="68" t="s">
        <v>69</v>
      </c>
      <c r="D7" s="68" t="s">
        <v>110</v>
      </c>
      <c r="E7" s="68" t="s">
        <v>109</v>
      </c>
      <c r="F7" s="89" t="s">
        <v>115</v>
      </c>
      <c r="G7" s="45">
        <v>41379</v>
      </c>
      <c r="H7" s="45">
        <v>41393</v>
      </c>
      <c r="I7" s="76">
        <v>1</v>
      </c>
      <c r="J7" s="43">
        <v>2</v>
      </c>
      <c r="K7" s="3">
        <v>13</v>
      </c>
      <c r="L7" s="55">
        <f t="array" ref="L7">IF(ISNA(INDEX($O$2:$DA$2,1,MATCH(1,IF($O7:$DM7,1),0))),"",INDEX($O$2:$DA$2,1,MATCH(1,IF($O7:$DM7,1),0)))</f>
        <v>41372</v>
      </c>
      <c r="M7" s="55" t="str">
        <f>IF(ISNA(MATCH("X",O7:W7,0)),"",INDEX($O$2:$X$2,1,MATCH("X",O7:W7,0)-1))</f>
        <v/>
      </c>
      <c r="N7" s="56">
        <f t="shared" si="1"/>
        <v>10</v>
      </c>
      <c r="O7" s="51">
        <v>10</v>
      </c>
      <c r="P7" s="51"/>
      <c r="Q7" s="51"/>
      <c r="R7" s="51"/>
      <c r="S7" s="51"/>
      <c r="T7" s="51"/>
      <c r="U7" s="51"/>
      <c r="V7" s="51"/>
      <c r="W7" s="51"/>
      <c r="X7" s="5"/>
      <c r="Y7" s="18"/>
      <c r="Z7" s="18"/>
      <c r="AA7" s="18"/>
      <c r="AB7" s="18"/>
      <c r="AC7" s="18"/>
      <c r="AD7" s="18"/>
      <c r="AE7" s="18"/>
      <c r="AF7" s="18"/>
      <c r="AG7" s="18"/>
      <c r="AH7" s="18"/>
    </row>
    <row r="8" spans="1:34" ht="25.5" x14ac:dyDescent="0.2">
      <c r="A8" s="18"/>
      <c r="B8" s="4">
        <v>6</v>
      </c>
      <c r="C8" s="68" t="s">
        <v>69</v>
      </c>
      <c r="D8" s="68" t="s">
        <v>74</v>
      </c>
      <c r="E8" s="68" t="s">
        <v>75</v>
      </c>
      <c r="F8" s="89" t="s">
        <v>122</v>
      </c>
      <c r="G8" s="45">
        <v>41386</v>
      </c>
      <c r="H8" s="45">
        <v>41393</v>
      </c>
      <c r="I8" s="76">
        <v>4</v>
      </c>
      <c r="J8" s="43">
        <v>1</v>
      </c>
      <c r="K8" s="3">
        <v>13</v>
      </c>
      <c r="L8" s="55" t="str">
        <f t="array" ref="L8">IF(ISNA(INDEX($O$2:$DA$2,1,MATCH(1,IF($O8:$DM8,1),0))),"",INDEX($O$2:$DA$2,1,MATCH(1,IF($O8:$DM8,1),0)))</f>
        <v/>
      </c>
      <c r="M8" s="55" t="str">
        <f>IF(ISNA(MATCH("X",O8:W8,0)),"",INDEX($O$2:$X$2,1,MATCH("X",O8:W8,0)-1))</f>
        <v/>
      </c>
      <c r="N8" s="56">
        <f t="shared" si="1"/>
        <v>0</v>
      </c>
      <c r="O8" s="51"/>
      <c r="P8" s="51"/>
      <c r="Q8" s="51"/>
      <c r="R8" s="51"/>
      <c r="S8" s="51"/>
      <c r="T8" s="51"/>
      <c r="U8" s="51"/>
      <c r="V8" s="51"/>
      <c r="W8" s="51"/>
      <c r="X8" s="5"/>
      <c r="Y8" s="18"/>
      <c r="Z8" s="18"/>
      <c r="AA8" s="18"/>
      <c r="AB8" s="18"/>
      <c r="AC8" s="18"/>
      <c r="AD8" s="18"/>
      <c r="AE8" s="18"/>
      <c r="AF8" s="18"/>
      <c r="AG8" s="18"/>
      <c r="AH8" s="18"/>
    </row>
    <row r="9" spans="1:34" ht="25.5" x14ac:dyDescent="0.2">
      <c r="A9" s="18"/>
      <c r="B9" s="4">
        <v>7</v>
      </c>
      <c r="C9" s="68" t="s">
        <v>69</v>
      </c>
      <c r="D9" s="68" t="s">
        <v>74</v>
      </c>
      <c r="E9" s="68" t="s">
        <v>76</v>
      </c>
      <c r="F9" s="89" t="s">
        <v>122</v>
      </c>
      <c r="G9" s="45">
        <v>41393</v>
      </c>
      <c r="H9" s="45">
        <v>41407</v>
      </c>
      <c r="I9" s="76">
        <v>6</v>
      </c>
      <c r="J9" s="43">
        <v>1</v>
      </c>
      <c r="K9" s="3">
        <v>20</v>
      </c>
      <c r="L9" s="55" t="str">
        <f t="array" ref="L9">IF(ISNA(INDEX($O$2:$DA$2,1,MATCH(1,IF($O9:$DM9,1),0))),"",INDEX($O$2:$DA$2,1,MATCH(1,IF($O9:$DM9,1),0)))</f>
        <v/>
      </c>
      <c r="M9" s="55" t="str">
        <f>IF(ISNA(MATCH("X",O9:W9,0)),"",INDEX($O$2:$X$2,1,MATCH("X",O9:W9,0)-1))</f>
        <v/>
      </c>
      <c r="N9" s="56">
        <f t="shared" si="1"/>
        <v>0</v>
      </c>
      <c r="O9" s="51"/>
      <c r="P9" s="51"/>
      <c r="Q9" s="51"/>
      <c r="R9" s="51"/>
      <c r="S9" s="51"/>
      <c r="T9" s="51"/>
      <c r="U9" s="51"/>
      <c r="V9" s="51"/>
      <c r="W9" s="51"/>
      <c r="X9" s="5"/>
      <c r="Y9" s="18"/>
      <c r="Z9" s="18"/>
      <c r="AA9" s="18"/>
      <c r="AB9" s="18"/>
      <c r="AC9" s="18"/>
      <c r="AD9" s="18"/>
      <c r="AE9" s="18"/>
      <c r="AF9" s="18"/>
      <c r="AG9" s="18"/>
      <c r="AH9" s="18"/>
    </row>
    <row r="10" spans="1:34" ht="25.5" x14ac:dyDescent="0.2">
      <c r="A10" s="18"/>
      <c r="B10" s="4">
        <v>8</v>
      </c>
      <c r="C10" s="68" t="s">
        <v>69</v>
      </c>
      <c r="D10" s="68" t="s">
        <v>74</v>
      </c>
      <c r="E10" s="69" t="s">
        <v>77</v>
      </c>
      <c r="F10" s="89" t="s">
        <v>116</v>
      </c>
      <c r="G10" s="45">
        <v>41393</v>
      </c>
      <c r="H10" s="45">
        <v>41407</v>
      </c>
      <c r="I10" s="76">
        <v>7</v>
      </c>
      <c r="J10" s="43">
        <v>1</v>
      </c>
      <c r="K10" s="3">
        <v>8</v>
      </c>
      <c r="L10" s="55" t="str">
        <f t="array" ref="L10">IF(ISNA(INDEX($O$2:$DA$2,1,MATCH(1,IF($O10:$DM10,1),0))),"",INDEX($O$2:$DA$2,1,MATCH(1,IF($O10:$DM10,1),0)))</f>
        <v/>
      </c>
      <c r="M10" s="55" t="str">
        <f>IF(ISNA(MATCH("X",O10:W10,0)),"",INDEX($O$2:$X$2,1,MATCH("X",O10:W10,0)-1))</f>
        <v/>
      </c>
      <c r="N10" s="56">
        <f t="shared" si="1"/>
        <v>0</v>
      </c>
      <c r="O10" s="51"/>
      <c r="P10" s="51"/>
      <c r="Q10" s="51"/>
      <c r="R10" s="51"/>
      <c r="S10" s="51"/>
      <c r="T10" s="51"/>
      <c r="U10" s="51"/>
      <c r="V10" s="51"/>
      <c r="W10" s="51"/>
      <c r="X10" s="5"/>
      <c r="Y10" s="18"/>
      <c r="Z10" s="18"/>
      <c r="AA10" s="18"/>
      <c r="AB10" s="18"/>
      <c r="AC10" s="18"/>
      <c r="AD10" s="18"/>
      <c r="AE10" s="18"/>
      <c r="AF10" s="18"/>
      <c r="AG10" s="18"/>
      <c r="AH10" s="18"/>
    </row>
    <row r="11" spans="1:34" ht="26.25" thickBot="1" x14ac:dyDescent="0.25">
      <c r="A11" s="18"/>
      <c r="B11" s="72">
        <v>9</v>
      </c>
      <c r="C11" s="73" t="s">
        <v>69</v>
      </c>
      <c r="D11" s="74" t="s">
        <v>78</v>
      </c>
      <c r="E11" s="74"/>
      <c r="F11" s="89" t="s">
        <v>117</v>
      </c>
      <c r="G11" s="82">
        <v>41393</v>
      </c>
      <c r="H11" s="82">
        <v>41407</v>
      </c>
      <c r="I11" s="76">
        <v>7</v>
      </c>
      <c r="J11" s="83">
        <v>1</v>
      </c>
      <c r="K11" s="84">
        <v>10</v>
      </c>
      <c r="L11" s="85" t="str">
        <f t="array" ref="L11">IF(ISNA(INDEX($O$2:$DA$2,1,MATCH(1,IF($O11:$DM11,1),0))),"",INDEX($O$2:$DA$2,1,MATCH(1,IF($O11:$DM11,1),0)))</f>
        <v/>
      </c>
      <c r="M11" s="55" t="str">
        <f>IF(ISNA(MATCH("X",O11:W11,0)),"",INDEX($O$2:$X$2,1,MATCH("X",O11:W11,0)-1))</f>
        <v/>
      </c>
      <c r="N11" s="86">
        <f t="shared" si="1"/>
        <v>0</v>
      </c>
      <c r="O11" s="87"/>
      <c r="P11" s="87"/>
      <c r="Q11" s="87"/>
      <c r="R11" s="87"/>
      <c r="S11" s="87"/>
      <c r="T11" s="87"/>
      <c r="U11" s="87"/>
      <c r="V11" s="87"/>
      <c r="W11" s="87"/>
      <c r="X11" s="88"/>
      <c r="Y11" s="18"/>
      <c r="Z11" s="18"/>
      <c r="AA11" s="18"/>
      <c r="AB11" s="18"/>
      <c r="AC11" s="18"/>
      <c r="AD11" s="18"/>
      <c r="AE11" s="18"/>
      <c r="AF11" s="18"/>
      <c r="AG11" s="18"/>
      <c r="AH11" s="18"/>
    </row>
    <row r="12" spans="1:34" ht="25.5" x14ac:dyDescent="0.2">
      <c r="A12" s="18"/>
      <c r="B12" s="70">
        <v>10</v>
      </c>
      <c r="C12" s="71" t="s">
        <v>79</v>
      </c>
      <c r="D12" s="71" t="s">
        <v>80</v>
      </c>
      <c r="E12" s="71" t="s">
        <v>81</v>
      </c>
      <c r="F12" s="89" t="s">
        <v>118</v>
      </c>
      <c r="G12" s="75">
        <v>41386</v>
      </c>
      <c r="H12" s="75">
        <v>41393</v>
      </c>
      <c r="I12" s="76">
        <v>4</v>
      </c>
      <c r="J12" s="76">
        <v>1</v>
      </c>
      <c r="K12" s="77">
        <v>3</v>
      </c>
      <c r="L12" s="78" t="str">
        <f t="array" ref="L12">IF(ISNA(INDEX($O$2:$DA$2,1,MATCH(1,IF($O12:$DM12,1),0))),"",INDEX($O$2:$DA$2,1,MATCH(1,IF($O12:$DM12,1),0)))</f>
        <v/>
      </c>
      <c r="M12" s="55" t="str">
        <f>IF(ISNA(MATCH("X",O12:W12,0)),"",INDEX($O$2:$X$2,1,MATCH("X",O12:W12,0)-1))</f>
        <v/>
      </c>
      <c r="N12" s="79">
        <f t="shared" si="1"/>
        <v>0</v>
      </c>
      <c r="O12" s="80"/>
      <c r="P12" s="80"/>
      <c r="Q12" s="80"/>
      <c r="R12" s="80"/>
      <c r="S12" s="80" t="str">
        <f>IF(ISNUMBER(R12)," ",IF(R12="X","X"," "))</f>
        <v xml:space="preserve"> </v>
      </c>
      <c r="T12" s="80" t="str">
        <f>IF(ISNUMBER(S12)," ",IF(S12="X","X"," "))</f>
        <v xml:space="preserve"> </v>
      </c>
      <c r="U12" s="80" t="str">
        <f>IF(ISNUMBER(T12)," ",IF(T12="X","X"," "))</f>
        <v xml:space="preserve"> </v>
      </c>
      <c r="V12" s="80" t="str">
        <f>IF(ISNUMBER(U12)," ",IF(U12="X","X"," "))</f>
        <v xml:space="preserve"> </v>
      </c>
      <c r="W12" s="80" t="str">
        <f>IF(ISNUMBER(V12)," ",IF(V12="X","X"," "))</f>
        <v xml:space="preserve"> </v>
      </c>
      <c r="X12" s="81"/>
      <c r="Y12" s="18"/>
      <c r="Z12" s="18"/>
      <c r="AA12" s="18"/>
      <c r="AB12" s="18"/>
      <c r="AC12" s="18"/>
      <c r="AD12" s="18"/>
      <c r="AE12" s="18"/>
      <c r="AF12" s="18"/>
      <c r="AG12" s="18"/>
      <c r="AH12" s="18"/>
    </row>
    <row r="13" spans="1:34" ht="25.5" x14ac:dyDescent="0.2">
      <c r="A13" s="18"/>
      <c r="B13" s="4">
        <v>11</v>
      </c>
      <c r="C13" s="68" t="s">
        <v>79</v>
      </c>
      <c r="D13" s="68" t="s">
        <v>80</v>
      </c>
      <c r="E13" s="68" t="s">
        <v>82</v>
      </c>
      <c r="F13" s="89" t="s">
        <v>122</v>
      </c>
      <c r="G13" s="75">
        <v>41393</v>
      </c>
      <c r="H13" s="45">
        <v>41407</v>
      </c>
      <c r="I13" s="43">
        <v>10</v>
      </c>
      <c r="J13" s="43">
        <v>1.5</v>
      </c>
      <c r="K13" s="3">
        <v>13</v>
      </c>
      <c r="L13" s="55" t="str">
        <f t="array" ref="L13">IF(ISNA(INDEX($O$2:$DA$2,1,MATCH(1,IF($O13:$DM13,1),0))),"",INDEX($O$2:$DA$2,1,MATCH(1,IF($O13:$DM13,1),0)))</f>
        <v/>
      </c>
      <c r="M13" s="55" t="str">
        <f>IF(ISNA(MATCH("X",O13:W13,0)),"",INDEX($O$2:$X$2,1,MATCH("X",O13:W13,0)-1))</f>
        <v/>
      </c>
      <c r="N13" s="56">
        <f t="shared" si="1"/>
        <v>0</v>
      </c>
      <c r="O13" s="51"/>
      <c r="P13" s="51"/>
      <c r="Q13" s="51"/>
      <c r="R13" s="51"/>
      <c r="S13" s="51" t="str">
        <f>IF(ISNUMBER(R13)," ",IF(R13="X","X"," "))</f>
        <v xml:space="preserve"> </v>
      </c>
      <c r="T13" s="51" t="str">
        <f>IF(ISNUMBER(S13)," ",IF(S13="X","X"," "))</f>
        <v xml:space="preserve"> </v>
      </c>
      <c r="U13" s="51" t="str">
        <f>IF(ISNUMBER(T13)," ",IF(T13="X","X"," "))</f>
        <v xml:space="preserve"> </v>
      </c>
      <c r="V13" s="51" t="str">
        <f>IF(ISNUMBER(U13)," ",IF(U13="X","X"," "))</f>
        <v xml:space="preserve"> </v>
      </c>
      <c r="W13" s="51" t="str">
        <f>IF(ISNUMBER(V13)," ",IF(V13="X","X"," "))</f>
        <v xml:space="preserve"> </v>
      </c>
      <c r="X13" s="5"/>
      <c r="Y13" s="18"/>
      <c r="Z13" s="18"/>
      <c r="AA13" s="18"/>
      <c r="AB13" s="18"/>
      <c r="AC13" s="18"/>
      <c r="AD13" s="18"/>
      <c r="AE13" s="18"/>
      <c r="AF13" s="18"/>
      <c r="AG13" s="18"/>
      <c r="AH13" s="18"/>
    </row>
    <row r="14" spans="1:34" ht="25.5" x14ac:dyDescent="0.2">
      <c r="A14" s="18"/>
      <c r="B14" s="4">
        <v>12</v>
      </c>
      <c r="C14" s="68" t="s">
        <v>79</v>
      </c>
      <c r="D14" s="68" t="s">
        <v>83</v>
      </c>
      <c r="E14" s="68" t="s">
        <v>84</v>
      </c>
      <c r="F14" s="89" t="s">
        <v>107</v>
      </c>
      <c r="G14" s="45">
        <v>41393</v>
      </c>
      <c r="H14" s="45">
        <v>41414</v>
      </c>
      <c r="I14" s="43">
        <v>11</v>
      </c>
      <c r="J14" s="43">
        <v>2</v>
      </c>
      <c r="K14" s="3">
        <v>5</v>
      </c>
      <c r="L14" s="55" t="str">
        <f t="array" ref="L14">IF(ISNA(INDEX($O$2:$DA$2,1,MATCH(1,IF($O14:$DM14,1),0))),"",INDEX($O$2:$DA$2,1,MATCH(1,IF($O14:$DM14,1),0)))</f>
        <v/>
      </c>
      <c r="M14" s="55" t="str">
        <f>IF(ISNA(MATCH("X",O14:W14,0)),"",INDEX($O$2:$X$2,1,MATCH("X",O14:W14,0)-1))</f>
        <v/>
      </c>
      <c r="N14" s="56">
        <f t="shared" si="1"/>
        <v>0</v>
      </c>
      <c r="O14" s="51"/>
      <c r="P14" s="51"/>
      <c r="Q14" s="51"/>
      <c r="R14" s="51"/>
      <c r="S14" s="51"/>
      <c r="T14" s="51" t="str">
        <f>IF(ISNUMBER(S14)," ",IF(S14="X","X"," "))</f>
        <v xml:space="preserve"> </v>
      </c>
      <c r="U14" s="51" t="str">
        <f>IF(ISNUMBER(T14)," ",IF(T14="X","X"," "))</f>
        <v xml:space="preserve"> </v>
      </c>
      <c r="V14" s="51" t="str">
        <f>IF(ISNUMBER(U14)," ",IF(U14="X","X"," "))</f>
        <v xml:space="preserve"> </v>
      </c>
      <c r="W14" s="51" t="str">
        <f>IF(ISNUMBER(V14)," ",IF(V14="X","X"," "))</f>
        <v xml:space="preserve"> </v>
      </c>
      <c r="X14" s="5"/>
      <c r="Y14" s="18"/>
      <c r="Z14" s="18"/>
      <c r="AA14" s="18"/>
      <c r="AB14" s="18"/>
      <c r="AC14" s="18"/>
      <c r="AD14" s="18"/>
      <c r="AE14" s="18"/>
      <c r="AF14" s="18"/>
      <c r="AG14" s="18"/>
      <c r="AH14" s="18"/>
    </row>
    <row r="15" spans="1:34" ht="25.5" customHeight="1" x14ac:dyDescent="0.2">
      <c r="A15" s="18"/>
      <c r="B15" s="4">
        <v>13</v>
      </c>
      <c r="C15" s="68" t="s">
        <v>79</v>
      </c>
      <c r="D15" s="68" t="s">
        <v>85</v>
      </c>
      <c r="E15" s="68" t="s">
        <v>86</v>
      </c>
      <c r="F15" s="89" t="s">
        <v>112</v>
      </c>
      <c r="G15" s="45">
        <v>41393</v>
      </c>
      <c r="H15" s="45">
        <v>41407</v>
      </c>
      <c r="I15" s="46"/>
      <c r="J15" s="43">
        <v>1</v>
      </c>
      <c r="K15" s="3">
        <v>1</v>
      </c>
      <c r="L15" s="55" t="str">
        <f t="array" ref="L15">IF(ISNA(INDEX($O$2:$DA$2,1,MATCH(1,IF($O15:$DM15,1),0))),"",INDEX($O$2:$DA$2,1,MATCH(1,IF($O15:$DM15,1),0)))</f>
        <v/>
      </c>
      <c r="M15" s="55" t="str">
        <f>IF(ISNA(MATCH("X",O15:W15,0)),"",INDEX($O$2:$X$2,1,MATCH("X",O15:W15,0)-1))</f>
        <v/>
      </c>
      <c r="N15" s="56">
        <f t="shared" si="1"/>
        <v>0</v>
      </c>
      <c r="O15" s="51"/>
      <c r="P15" s="51" t="str">
        <f t="shared" ref="P15:Q15" si="2">IF(ISNUMBER(O15)," ",IF(O15="X","X"," "))</f>
        <v xml:space="preserve"> </v>
      </c>
      <c r="Q15" s="51" t="str">
        <f t="shared" si="2"/>
        <v xml:space="preserve"> </v>
      </c>
      <c r="R15" s="51"/>
      <c r="S15" s="51" t="str">
        <f>IF(ISNUMBER(R15)," ",IF(R15="X","X"," "))</f>
        <v xml:space="preserve"> </v>
      </c>
      <c r="T15" s="51" t="str">
        <f>IF(ISNUMBER(S15)," ",IF(S15="X","X"," "))</f>
        <v xml:space="preserve"> </v>
      </c>
      <c r="U15" s="51" t="str">
        <f>IF(ISNUMBER(T15)," ",IF(T15="X","X"," "))</f>
        <v xml:space="preserve"> </v>
      </c>
      <c r="V15" s="51" t="str">
        <f>IF(ISNUMBER(U15)," ",IF(U15="X","X"," "))</f>
        <v xml:space="preserve"> </v>
      </c>
      <c r="W15" s="51" t="str">
        <f>IF(ISNUMBER(V15)," ",IF(V15="X","X"," "))</f>
        <v xml:space="preserve"> </v>
      </c>
      <c r="X15" s="5"/>
      <c r="Y15" s="18"/>
      <c r="Z15" s="18"/>
      <c r="AA15" s="18"/>
      <c r="AB15" s="18"/>
      <c r="AC15" s="18"/>
      <c r="AD15" s="18"/>
      <c r="AE15" s="18"/>
      <c r="AF15" s="18"/>
      <c r="AG15" s="18"/>
      <c r="AH15" s="18"/>
    </row>
    <row r="16" spans="1:34" ht="25.5" customHeight="1" x14ac:dyDescent="0.2">
      <c r="A16" s="18"/>
      <c r="B16" s="4">
        <v>14</v>
      </c>
      <c r="C16" s="68" t="s">
        <v>79</v>
      </c>
      <c r="D16" s="68" t="s">
        <v>89</v>
      </c>
      <c r="E16" s="68" t="s">
        <v>87</v>
      </c>
      <c r="F16" s="89" t="s">
        <v>112</v>
      </c>
      <c r="G16" s="45">
        <v>41393</v>
      </c>
      <c r="H16" s="45">
        <v>41414</v>
      </c>
      <c r="I16" s="43">
        <v>13</v>
      </c>
      <c r="J16" s="43">
        <v>1</v>
      </c>
      <c r="K16" s="3">
        <v>3</v>
      </c>
      <c r="L16" s="55" t="str">
        <f t="array" ref="L16">IF(ISNA(INDEX($O$2:$DA$2,1,MATCH(1,IF($O16:$DM16,1),0))),"",INDEX($O$2:$DA$2,1,MATCH(1,IF($O16:$DM16,1),0)))</f>
        <v/>
      </c>
      <c r="M16" s="55" t="str">
        <f>IF(ISNA(MATCH("X",O16:W16,0)),"",INDEX($O$2:$X$2,1,MATCH("X",O16:W16,0)-1))</f>
        <v/>
      </c>
      <c r="N16" s="56">
        <f t="shared" si="1"/>
        <v>0</v>
      </c>
      <c r="O16" s="51"/>
      <c r="P16" s="51" t="str">
        <f t="shared" ref="P16" si="3">IF(ISNUMBER(O16)," ",IF(O16="X","X"," "))</f>
        <v xml:space="preserve"> </v>
      </c>
      <c r="Q16" s="51"/>
      <c r="R16" s="51"/>
      <c r="S16" s="51" t="str">
        <f>IF(ISNUMBER(R16)," ",IF(R16="X","X"," "))</f>
        <v xml:space="preserve"> </v>
      </c>
      <c r="T16" s="51" t="str">
        <f>IF(ISNUMBER(S16)," ",IF(S16="X","X"," "))</f>
        <v xml:space="preserve"> </v>
      </c>
      <c r="U16" s="51" t="str">
        <f>IF(ISNUMBER(T16)," ",IF(T16="X","X"," "))</f>
        <v xml:space="preserve"> </v>
      </c>
      <c r="V16" s="51" t="str">
        <f>IF(ISNUMBER(U16)," ",IF(U16="X","X"," "))</f>
        <v xml:space="preserve"> </v>
      </c>
      <c r="W16" s="51" t="str">
        <f>IF(ISNUMBER(V16)," ",IF(V16="X","X"," "))</f>
        <v xml:space="preserve"> </v>
      </c>
      <c r="X16" s="5"/>
      <c r="Y16" s="18"/>
      <c r="Z16" s="18"/>
      <c r="AA16" s="18"/>
      <c r="AB16" s="18"/>
      <c r="AC16" s="18"/>
      <c r="AD16" s="18"/>
      <c r="AE16" s="18"/>
      <c r="AF16" s="18"/>
      <c r="AG16" s="18"/>
      <c r="AH16" s="18"/>
    </row>
    <row r="17" spans="1:34" ht="25.5" customHeight="1" x14ac:dyDescent="0.2">
      <c r="A17" s="18"/>
      <c r="B17" s="4">
        <v>15</v>
      </c>
      <c r="C17" s="68" t="s">
        <v>79</v>
      </c>
      <c r="D17" s="68" t="s">
        <v>85</v>
      </c>
      <c r="E17" s="68" t="s">
        <v>111</v>
      </c>
      <c r="F17" s="89" t="s">
        <v>112</v>
      </c>
      <c r="G17" s="45">
        <v>41407</v>
      </c>
      <c r="H17" s="45">
        <v>41414</v>
      </c>
      <c r="I17" s="43">
        <v>10</v>
      </c>
      <c r="J17" s="43">
        <v>1</v>
      </c>
      <c r="K17" s="3">
        <v>1</v>
      </c>
      <c r="L17" s="55" t="str">
        <f t="array" ref="L17">IF(ISNA(INDEX($O$2:$DA$2,1,MATCH(1,IF($O17:$DM17,1),0))),"",INDEX($O$2:$DA$2,1,MATCH(1,IF($O17:$DM17,1),0)))</f>
        <v/>
      </c>
      <c r="M17" s="55" t="str">
        <f>IF(ISNA(MATCH("X",O17:W17,0)),"",INDEX($O$2:$X$2,1,MATCH("X",O17:W17,0)-1))</f>
        <v/>
      </c>
      <c r="N17" s="56">
        <f t="shared" si="1"/>
        <v>0</v>
      </c>
      <c r="O17" s="51"/>
      <c r="P17" s="51"/>
      <c r="Q17" s="51"/>
      <c r="R17" s="51"/>
      <c r="S17" s="51"/>
      <c r="T17" s="51"/>
      <c r="U17" s="51"/>
      <c r="V17" s="51"/>
      <c r="W17" s="51"/>
      <c r="X17" s="5"/>
      <c r="Y17" s="18"/>
      <c r="Z17" s="18"/>
      <c r="AA17" s="18"/>
      <c r="AB17" s="18"/>
      <c r="AC17" s="18"/>
      <c r="AD17" s="18"/>
      <c r="AE17" s="18"/>
      <c r="AF17" s="18"/>
      <c r="AG17" s="18"/>
      <c r="AH17" s="18"/>
    </row>
    <row r="18" spans="1:34" ht="25.5" customHeight="1" x14ac:dyDescent="0.2">
      <c r="A18" s="18"/>
      <c r="B18" s="4">
        <v>16</v>
      </c>
      <c r="C18" s="68" t="s">
        <v>79</v>
      </c>
      <c r="D18" s="68" t="s">
        <v>90</v>
      </c>
      <c r="E18" s="68" t="s">
        <v>86</v>
      </c>
      <c r="F18" s="89" t="s">
        <v>106</v>
      </c>
      <c r="G18" s="45">
        <v>41393</v>
      </c>
      <c r="H18" s="45">
        <v>41407</v>
      </c>
      <c r="I18" s="46"/>
      <c r="J18" s="43">
        <v>1</v>
      </c>
      <c r="K18" s="3">
        <v>1</v>
      </c>
      <c r="L18" s="55" t="str">
        <f t="array" ref="L18">IF(ISNA(INDEX($O$2:$DA$2,1,MATCH(1,IF($O18:$DM18,1),0))),"",INDEX($O$2:$DA$2,1,MATCH(1,IF($O18:$DM18,1),0)))</f>
        <v/>
      </c>
      <c r="M18" s="55" t="str">
        <f>IF(ISNA(MATCH("X",O18:W18,0)),"",INDEX($O$2:$X$2,1,MATCH("X",O18:W18,0)-1))</f>
        <v/>
      </c>
      <c r="N18" s="56">
        <f t="shared" si="1"/>
        <v>0</v>
      </c>
      <c r="O18" s="51"/>
      <c r="P18" s="51"/>
      <c r="Q18" s="51"/>
      <c r="R18" s="51"/>
      <c r="S18" s="51"/>
      <c r="T18" s="51"/>
      <c r="U18" s="51"/>
      <c r="V18" s="51"/>
      <c r="W18" s="51"/>
      <c r="X18" s="5"/>
      <c r="Y18" s="18"/>
      <c r="Z18" s="18"/>
      <c r="AA18" s="18"/>
      <c r="AB18" s="18"/>
      <c r="AC18" s="18"/>
      <c r="AD18" s="18"/>
      <c r="AE18" s="18"/>
      <c r="AF18" s="18"/>
      <c r="AG18" s="18"/>
      <c r="AH18" s="18"/>
    </row>
    <row r="19" spans="1:34" ht="25.5" customHeight="1" x14ac:dyDescent="0.2">
      <c r="A19" s="18"/>
      <c r="B19" s="4">
        <v>17</v>
      </c>
      <c r="C19" s="68" t="s">
        <v>79</v>
      </c>
      <c r="D19" s="68" t="s">
        <v>90</v>
      </c>
      <c r="E19" s="68" t="s">
        <v>87</v>
      </c>
      <c r="F19" s="89" t="s">
        <v>106</v>
      </c>
      <c r="G19" s="45">
        <v>41393</v>
      </c>
      <c r="H19" s="45">
        <v>41407</v>
      </c>
      <c r="I19" s="43">
        <v>16</v>
      </c>
      <c r="J19" s="43">
        <v>1</v>
      </c>
      <c r="K19" s="3">
        <v>3</v>
      </c>
      <c r="L19" s="55" t="str">
        <f t="array" ref="L19">IF(ISNA(INDEX($O$2:$DA$2,1,MATCH(1,IF($O19:$DM19,1),0))),"",INDEX($O$2:$DA$2,1,MATCH(1,IF($O19:$DM19,1),0)))</f>
        <v/>
      </c>
      <c r="M19" s="55" t="str">
        <f>IF(ISNA(MATCH("X",O19:W19,0)),"",INDEX($O$2:$X$2,1,MATCH("X",O19:W19,0)-1))</f>
        <v/>
      </c>
      <c r="N19" s="56">
        <f t="shared" si="1"/>
        <v>0</v>
      </c>
      <c r="O19" s="51"/>
      <c r="P19" s="51"/>
      <c r="Q19" s="51"/>
      <c r="R19" s="51"/>
      <c r="S19" s="51"/>
      <c r="T19" s="51"/>
      <c r="U19" s="51"/>
      <c r="V19" s="51"/>
      <c r="W19" s="51"/>
      <c r="X19" s="5"/>
      <c r="Y19" s="18"/>
      <c r="Z19" s="18"/>
      <c r="AA19" s="18"/>
      <c r="AB19" s="18"/>
      <c r="AC19" s="18"/>
      <c r="AD19" s="18"/>
      <c r="AE19" s="18"/>
      <c r="AF19" s="18"/>
      <c r="AG19" s="18"/>
      <c r="AH19" s="18"/>
    </row>
    <row r="20" spans="1:34" ht="25.5" customHeight="1" x14ac:dyDescent="0.2">
      <c r="A20" s="18"/>
      <c r="B20" s="4">
        <v>18</v>
      </c>
      <c r="C20" s="68" t="s">
        <v>79</v>
      </c>
      <c r="D20" s="68" t="s">
        <v>90</v>
      </c>
      <c r="E20" s="68" t="s">
        <v>88</v>
      </c>
      <c r="F20" s="89" t="s">
        <v>106</v>
      </c>
      <c r="G20" s="45">
        <v>41407</v>
      </c>
      <c r="H20" s="45">
        <v>41414</v>
      </c>
      <c r="I20" s="43">
        <v>10</v>
      </c>
      <c r="J20" s="43">
        <v>1</v>
      </c>
      <c r="K20" s="3">
        <v>1</v>
      </c>
      <c r="L20" s="55" t="str">
        <f t="array" ref="L20">IF(ISNA(INDEX($O$2:$DA$2,1,MATCH(1,IF($O20:$DM20,1),0))),"",INDEX($O$2:$DA$2,1,MATCH(1,IF($O20:$DM20,1),0)))</f>
        <v/>
      </c>
      <c r="M20" s="55" t="str">
        <f>IF(ISNA(MATCH("X",O20:W20,0)),"",INDEX($O$2:$X$2,1,MATCH("X",O20:W20,0)-1))</f>
        <v/>
      </c>
      <c r="N20" s="56">
        <f t="shared" si="1"/>
        <v>0</v>
      </c>
      <c r="O20" s="51"/>
      <c r="P20" s="51"/>
      <c r="Q20" s="51"/>
      <c r="R20" s="51"/>
      <c r="S20" s="51"/>
      <c r="T20" s="51"/>
      <c r="U20" s="51"/>
      <c r="V20" s="51"/>
      <c r="W20" s="51"/>
      <c r="X20" s="5"/>
      <c r="Y20" s="18"/>
      <c r="Z20" s="18"/>
      <c r="AA20" s="18"/>
      <c r="AB20" s="18"/>
      <c r="AC20" s="18"/>
      <c r="AD20" s="18"/>
      <c r="AE20" s="18"/>
      <c r="AF20" s="18"/>
      <c r="AG20" s="18"/>
      <c r="AH20" s="18"/>
    </row>
    <row r="21" spans="1:34" ht="25.5" customHeight="1" x14ac:dyDescent="0.2">
      <c r="A21" s="18"/>
      <c r="B21" s="4">
        <v>19</v>
      </c>
      <c r="C21" s="68" t="s">
        <v>79</v>
      </c>
      <c r="D21" s="68" t="s">
        <v>91</v>
      </c>
      <c r="E21" s="68" t="s">
        <v>86</v>
      </c>
      <c r="F21" s="89" t="s">
        <v>119</v>
      </c>
      <c r="G21" s="45">
        <v>41393</v>
      </c>
      <c r="H21" s="45">
        <v>41407</v>
      </c>
      <c r="I21" s="46"/>
      <c r="J21" s="43">
        <v>1</v>
      </c>
      <c r="K21" s="3">
        <v>1</v>
      </c>
      <c r="L21" s="55" t="str">
        <f t="array" ref="L21">IF(ISNA(INDEX($O$2:$DA$2,1,MATCH(1,IF($O21:$DM21,1),0))),"",INDEX($O$2:$DA$2,1,MATCH(1,IF($O21:$DM21,1),0)))</f>
        <v/>
      </c>
      <c r="M21" s="55" t="str">
        <f>IF(ISNA(MATCH("X",O21:W21,0)),"",INDEX($O$2:$X$2,1,MATCH("X",O21:W21,0)-1))</f>
        <v/>
      </c>
      <c r="N21" s="56">
        <f t="shared" si="1"/>
        <v>0</v>
      </c>
      <c r="O21" s="51"/>
      <c r="P21" s="51"/>
      <c r="Q21" s="51"/>
      <c r="R21" s="51"/>
      <c r="S21" s="51"/>
      <c r="T21" s="51"/>
      <c r="U21" s="51"/>
      <c r="V21" s="51"/>
      <c r="W21" s="51"/>
      <c r="X21" s="5"/>
      <c r="Y21" s="18"/>
      <c r="Z21" s="18"/>
      <c r="AA21" s="18"/>
      <c r="AB21" s="18"/>
      <c r="AC21" s="18"/>
      <c r="AD21" s="18"/>
      <c r="AE21" s="18"/>
      <c r="AF21" s="18"/>
      <c r="AG21" s="18"/>
      <c r="AH21" s="18"/>
    </row>
    <row r="22" spans="1:34" ht="25.5" customHeight="1" x14ac:dyDescent="0.2">
      <c r="A22" s="18"/>
      <c r="B22" s="4">
        <v>20</v>
      </c>
      <c r="C22" s="68" t="s">
        <v>79</v>
      </c>
      <c r="D22" s="68" t="s">
        <v>91</v>
      </c>
      <c r="E22" s="68" t="s">
        <v>87</v>
      </c>
      <c r="F22" s="89" t="s">
        <v>119</v>
      </c>
      <c r="G22" s="45">
        <v>41393</v>
      </c>
      <c r="H22" s="45">
        <v>41407</v>
      </c>
      <c r="I22" s="43">
        <v>19</v>
      </c>
      <c r="J22" s="43">
        <v>1</v>
      </c>
      <c r="K22" s="3">
        <v>3</v>
      </c>
      <c r="L22" s="55" t="str">
        <f t="array" ref="L22">IF(ISNA(INDEX($O$2:$DA$2,1,MATCH(1,IF($O22:$DM22,1),0))),"",INDEX($O$2:$DA$2,1,MATCH(1,IF($O22:$DM22,1),0)))</f>
        <v/>
      </c>
      <c r="M22" s="55" t="str">
        <f>IF(ISNA(MATCH("X",O22:W22,0)),"",INDEX($O$2:$X$2,1,MATCH("X",O22:W22,0)-1))</f>
        <v/>
      </c>
      <c r="N22" s="56">
        <f t="shared" si="1"/>
        <v>0</v>
      </c>
      <c r="O22" s="51"/>
      <c r="P22" s="51"/>
      <c r="Q22" s="51"/>
      <c r="R22" s="51"/>
      <c r="S22" s="51"/>
      <c r="T22" s="51"/>
      <c r="U22" s="51"/>
      <c r="V22" s="51"/>
      <c r="W22" s="51"/>
      <c r="X22" s="5"/>
      <c r="Y22" s="18"/>
      <c r="Z22" s="18"/>
      <c r="AA22" s="18"/>
      <c r="AB22" s="18"/>
      <c r="AC22" s="18"/>
      <c r="AD22" s="18"/>
      <c r="AE22" s="18"/>
      <c r="AF22" s="18"/>
      <c r="AG22" s="18"/>
      <c r="AH22" s="18"/>
    </row>
    <row r="23" spans="1:34" ht="25.5" customHeight="1" x14ac:dyDescent="0.2">
      <c r="A23" s="18"/>
      <c r="B23" s="4">
        <v>21</v>
      </c>
      <c r="C23" s="68" t="s">
        <v>79</v>
      </c>
      <c r="D23" s="68" t="s">
        <v>91</v>
      </c>
      <c r="E23" s="68" t="s">
        <v>88</v>
      </c>
      <c r="F23" s="89" t="s">
        <v>119</v>
      </c>
      <c r="G23" s="45">
        <v>41414</v>
      </c>
      <c r="H23" s="45">
        <v>41421</v>
      </c>
      <c r="I23" s="43">
        <v>10</v>
      </c>
      <c r="J23" s="43">
        <v>1</v>
      </c>
      <c r="K23" s="3">
        <v>1</v>
      </c>
      <c r="L23" s="55" t="str">
        <f t="array" ref="L23">IF(ISNA(INDEX($O$2:$DA$2,1,MATCH(1,IF($O23:$DM23,1),0))),"",INDEX($O$2:$DA$2,1,MATCH(1,IF($O23:$DM23,1),0)))</f>
        <v/>
      </c>
      <c r="M23" s="55" t="str">
        <f>IF(ISNA(MATCH("X",O23:W23,0)),"",INDEX($O$2:$X$2,1,MATCH("X",O23:W23,0)-1))</f>
        <v/>
      </c>
      <c r="N23" s="56">
        <f t="shared" si="1"/>
        <v>0</v>
      </c>
      <c r="O23" s="51"/>
      <c r="P23" s="51"/>
      <c r="Q23" s="51"/>
      <c r="R23" s="51"/>
      <c r="S23" s="51"/>
      <c r="T23" s="51"/>
      <c r="U23" s="51"/>
      <c r="V23" s="51"/>
      <c r="W23" s="51"/>
      <c r="X23" s="5"/>
      <c r="Y23" s="18"/>
      <c r="Z23" s="18"/>
      <c r="AA23" s="18"/>
      <c r="AB23" s="18"/>
      <c r="AC23" s="18"/>
      <c r="AD23" s="18"/>
      <c r="AE23" s="18"/>
      <c r="AF23" s="18"/>
      <c r="AG23" s="18"/>
      <c r="AH23" s="18"/>
    </row>
    <row r="24" spans="1:34" ht="25.5" customHeight="1" x14ac:dyDescent="0.2">
      <c r="A24" s="18"/>
      <c r="B24" s="4">
        <v>22</v>
      </c>
      <c r="C24" s="68" t="s">
        <v>79</v>
      </c>
      <c r="D24" s="68" t="s">
        <v>92</v>
      </c>
      <c r="E24" s="68" t="s">
        <v>93</v>
      </c>
      <c r="F24" s="89" t="s">
        <v>108</v>
      </c>
      <c r="G24" s="45">
        <v>41407</v>
      </c>
      <c r="H24" s="45">
        <v>41421</v>
      </c>
      <c r="I24" s="46"/>
      <c r="J24" s="43">
        <v>2</v>
      </c>
      <c r="K24" s="3">
        <v>8</v>
      </c>
      <c r="L24" s="55" t="str">
        <f t="array" ref="L24">IF(ISNA(INDEX($O$2:$DA$2,1,MATCH(1,IF($O24:$DM24,1),0))),"",INDEX($O$2:$DA$2,1,MATCH(1,IF($O24:$DM24,1),0)))</f>
        <v/>
      </c>
      <c r="M24" s="55" t="str">
        <f>IF(ISNA(MATCH("X",O24:W24,0)),"",INDEX($O$2:$X$2,1,MATCH("X",O24:W24,0)-1))</f>
        <v/>
      </c>
      <c r="N24" s="56">
        <f t="shared" si="1"/>
        <v>0</v>
      </c>
      <c r="O24" s="51"/>
      <c r="P24" s="51"/>
      <c r="Q24" s="51"/>
      <c r="R24" s="51"/>
      <c r="S24" s="51"/>
      <c r="T24" s="51"/>
      <c r="U24" s="51"/>
      <c r="V24" s="51"/>
      <c r="W24" s="51"/>
      <c r="X24" s="5"/>
      <c r="Y24" s="18"/>
      <c r="Z24" s="18"/>
      <c r="AA24" s="18"/>
      <c r="AB24" s="18"/>
      <c r="AC24" s="18"/>
      <c r="AD24" s="18"/>
      <c r="AE24" s="18"/>
      <c r="AF24" s="18"/>
      <c r="AG24" s="18"/>
      <c r="AH24" s="18"/>
    </row>
    <row r="25" spans="1:34" ht="25.5" customHeight="1" x14ac:dyDescent="0.2">
      <c r="A25" s="18"/>
      <c r="B25" s="4">
        <v>23</v>
      </c>
      <c r="C25" s="68" t="s">
        <v>79</v>
      </c>
      <c r="D25" s="68" t="s">
        <v>92</v>
      </c>
      <c r="E25" s="68" t="s">
        <v>94</v>
      </c>
      <c r="F25" s="89" t="s">
        <v>119</v>
      </c>
      <c r="G25" s="45">
        <v>41407</v>
      </c>
      <c r="H25" s="45">
        <v>41414</v>
      </c>
      <c r="I25" s="46"/>
      <c r="J25" s="43">
        <v>1</v>
      </c>
      <c r="K25" s="3">
        <v>1</v>
      </c>
      <c r="L25" s="55" t="str">
        <f t="array" ref="L25">IF(ISNA(INDEX($O$2:$DA$2,1,MATCH(1,IF($O25:$DM25,1),0))),"",INDEX($O$2:$DA$2,1,MATCH(1,IF($O25:$DM25,1),0)))</f>
        <v/>
      </c>
      <c r="M25" s="55" t="str">
        <f>IF(ISNA(MATCH("X",O25:W25,0)),"",INDEX($O$2:$X$2,1,MATCH("X",O25:W25,0)-1))</f>
        <v/>
      </c>
      <c r="N25" s="56">
        <f t="shared" si="1"/>
        <v>0</v>
      </c>
      <c r="O25" s="51"/>
      <c r="P25" s="51"/>
      <c r="Q25" s="51"/>
      <c r="R25" s="51"/>
      <c r="S25" s="51"/>
      <c r="T25" s="51"/>
      <c r="U25" s="51"/>
      <c r="V25" s="51"/>
      <c r="W25" s="51"/>
      <c r="X25" s="5"/>
      <c r="Y25" s="18"/>
      <c r="Z25" s="18"/>
      <c r="AA25" s="18"/>
      <c r="AB25" s="18"/>
      <c r="AC25" s="18"/>
      <c r="AD25" s="18"/>
      <c r="AE25" s="18"/>
      <c r="AF25" s="18"/>
      <c r="AG25" s="18"/>
      <c r="AH25" s="18"/>
    </row>
    <row r="26" spans="1:34" ht="25.5" customHeight="1" x14ac:dyDescent="0.2">
      <c r="A26" s="18"/>
      <c r="B26" s="4">
        <v>24</v>
      </c>
      <c r="C26" s="68" t="s">
        <v>79</v>
      </c>
      <c r="D26" s="68" t="s">
        <v>92</v>
      </c>
      <c r="E26" s="68" t="s">
        <v>95</v>
      </c>
      <c r="F26" s="89" t="s">
        <v>119</v>
      </c>
      <c r="G26" s="45">
        <v>41407</v>
      </c>
      <c r="H26" s="45">
        <v>41421</v>
      </c>
      <c r="I26" s="43">
        <v>23</v>
      </c>
      <c r="J26" s="43">
        <v>2</v>
      </c>
      <c r="K26" s="3">
        <v>6</v>
      </c>
      <c r="L26" s="55" t="str">
        <f t="array" ref="L26">IF(ISNA(INDEX($O$2:$DA$2,1,MATCH(1,IF($O26:$DM26,1),0))),"",INDEX($O$2:$DA$2,1,MATCH(1,IF($O26:$DM26,1),0)))</f>
        <v/>
      </c>
      <c r="M26" s="55" t="str">
        <f>IF(ISNA(MATCH("X",O26:W26,0)),"",INDEX($O$2:$X$2,1,MATCH("X",O26:W26,0)-1))</f>
        <v/>
      </c>
      <c r="N26" s="56">
        <f t="shared" si="1"/>
        <v>0</v>
      </c>
      <c r="O26" s="51"/>
      <c r="P26" s="51"/>
      <c r="Q26" s="51"/>
      <c r="R26" s="51"/>
      <c r="S26" s="51"/>
      <c r="T26" s="51"/>
      <c r="U26" s="51"/>
      <c r="V26" s="51"/>
      <c r="W26" s="51"/>
      <c r="X26" s="5"/>
      <c r="Y26" s="18"/>
      <c r="Z26" s="18"/>
      <c r="AA26" s="18"/>
      <c r="AB26" s="18"/>
      <c r="AC26" s="18"/>
      <c r="AD26" s="18"/>
      <c r="AE26" s="18"/>
      <c r="AF26" s="18"/>
      <c r="AG26" s="18"/>
      <c r="AH26" s="18"/>
    </row>
    <row r="27" spans="1:34" ht="25.5" customHeight="1" x14ac:dyDescent="0.2">
      <c r="A27" s="18"/>
      <c r="B27" s="4">
        <v>25</v>
      </c>
      <c r="C27" s="68" t="s">
        <v>79</v>
      </c>
      <c r="D27" s="68" t="s">
        <v>92</v>
      </c>
      <c r="E27" s="68" t="s">
        <v>96</v>
      </c>
      <c r="F27" s="89" t="s">
        <v>119</v>
      </c>
      <c r="G27" s="45">
        <v>41421</v>
      </c>
      <c r="H27" s="45">
        <v>41428</v>
      </c>
      <c r="I27" s="43">
        <v>10</v>
      </c>
      <c r="J27" s="43">
        <v>1</v>
      </c>
      <c r="K27" s="3">
        <v>1</v>
      </c>
      <c r="L27" s="55" t="str">
        <f t="array" ref="L27">IF(ISNA(INDEX($O$2:$DA$2,1,MATCH(1,IF($O27:$DM27,1),0))),"",INDEX($O$2:$DA$2,1,MATCH(1,IF($O27:$DM27,1),0)))</f>
        <v/>
      </c>
      <c r="M27" s="55" t="str">
        <f>IF(ISNA(MATCH("X",O27:W27,0)),"",INDEX($O$2:$X$2,1,MATCH("X",O27:W27,0)-1))</f>
        <v/>
      </c>
      <c r="N27" s="56">
        <f t="shared" si="1"/>
        <v>0</v>
      </c>
      <c r="O27" s="51"/>
      <c r="P27" s="51"/>
      <c r="Q27" s="51"/>
      <c r="R27" s="51"/>
      <c r="S27" s="51"/>
      <c r="T27" s="51"/>
      <c r="U27" s="51"/>
      <c r="V27" s="51"/>
      <c r="W27" s="51"/>
      <c r="X27" s="5"/>
      <c r="Y27" s="18"/>
      <c r="Z27" s="18"/>
      <c r="AA27" s="18"/>
      <c r="AB27" s="18"/>
      <c r="AC27" s="18"/>
      <c r="AD27" s="18"/>
      <c r="AE27" s="18"/>
      <c r="AF27" s="18"/>
      <c r="AG27" s="18"/>
      <c r="AH27" s="18"/>
    </row>
    <row r="28" spans="1:34" ht="25.5" customHeight="1" x14ac:dyDescent="0.2">
      <c r="A28" s="18"/>
      <c r="B28" s="4">
        <v>26</v>
      </c>
      <c r="C28" s="68" t="s">
        <v>79</v>
      </c>
      <c r="D28" s="68" t="s">
        <v>97</v>
      </c>
      <c r="E28" s="68" t="s">
        <v>86</v>
      </c>
      <c r="F28" s="89" t="s">
        <v>107</v>
      </c>
      <c r="G28" s="45">
        <v>41407</v>
      </c>
      <c r="H28" s="45">
        <v>41414</v>
      </c>
      <c r="I28" s="46"/>
      <c r="J28" s="43">
        <v>1</v>
      </c>
      <c r="K28" s="3">
        <v>1</v>
      </c>
      <c r="L28" s="55" t="str">
        <f t="array" ref="L28">IF(ISNA(INDEX($O$2:$DA$2,1,MATCH(1,IF($O28:$DM28,1),0))),"",INDEX($O$2:$DA$2,1,MATCH(1,IF($O28:$DM28,1),0)))</f>
        <v/>
      </c>
      <c r="M28" s="55" t="str">
        <f>IF(ISNA(MATCH("X",O28:W28,0)),"",INDEX($O$2:$X$2,1,MATCH("X",O28:W28,0)-1))</f>
        <v/>
      </c>
      <c r="N28" s="56">
        <f t="shared" si="1"/>
        <v>0</v>
      </c>
      <c r="O28" s="51"/>
      <c r="P28" s="51"/>
      <c r="Q28" s="51"/>
      <c r="R28" s="51"/>
      <c r="S28" s="51"/>
      <c r="T28" s="51"/>
      <c r="U28" s="51"/>
      <c r="V28" s="51"/>
      <c r="W28" s="51"/>
      <c r="X28" s="5"/>
      <c r="Y28" s="18"/>
      <c r="Z28" s="18"/>
      <c r="AA28" s="18"/>
      <c r="AB28" s="18"/>
      <c r="AC28" s="18"/>
      <c r="AD28" s="18"/>
      <c r="AE28" s="18"/>
      <c r="AF28" s="18"/>
      <c r="AG28" s="18"/>
      <c r="AH28" s="18"/>
    </row>
    <row r="29" spans="1:34" ht="25.5" customHeight="1" x14ac:dyDescent="0.2">
      <c r="A29" s="18"/>
      <c r="B29" s="4">
        <v>27</v>
      </c>
      <c r="C29" s="68" t="s">
        <v>79</v>
      </c>
      <c r="D29" s="68" t="s">
        <v>97</v>
      </c>
      <c r="E29" s="68" t="s">
        <v>87</v>
      </c>
      <c r="F29" s="89" t="s">
        <v>107</v>
      </c>
      <c r="G29" s="45">
        <v>41407</v>
      </c>
      <c r="H29" s="45">
        <v>41414</v>
      </c>
      <c r="I29" s="43">
        <v>26</v>
      </c>
      <c r="J29" s="43">
        <v>1</v>
      </c>
      <c r="K29" s="3">
        <v>3</v>
      </c>
      <c r="L29" s="55" t="str">
        <f t="array" ref="L29">IF(ISNA(INDEX($O$2:$DA$2,1,MATCH(1,IF($O29:$DM29,1),0))),"",INDEX($O$2:$DA$2,1,MATCH(1,IF($O29:$DM29,1),0)))</f>
        <v/>
      </c>
      <c r="M29" s="55" t="str">
        <f>IF(ISNA(MATCH("X",O29:W29,0)),"",INDEX($O$2:$X$2,1,MATCH("X",O29:W29,0)-1))</f>
        <v/>
      </c>
      <c r="N29" s="56">
        <f t="shared" si="1"/>
        <v>0</v>
      </c>
      <c r="O29" s="51"/>
      <c r="P29" s="51"/>
      <c r="Q29" s="51"/>
      <c r="R29" s="51"/>
      <c r="S29" s="51"/>
      <c r="T29" s="51"/>
      <c r="U29" s="51"/>
      <c r="V29" s="51"/>
      <c r="W29" s="51"/>
      <c r="X29" s="5"/>
      <c r="Y29" s="18"/>
      <c r="Z29" s="18"/>
      <c r="AA29" s="18"/>
      <c r="AB29" s="18"/>
      <c r="AC29" s="18"/>
      <c r="AD29" s="18"/>
      <c r="AE29" s="18"/>
      <c r="AF29" s="18"/>
      <c r="AG29" s="18"/>
      <c r="AH29" s="18"/>
    </row>
    <row r="30" spans="1:34" ht="25.5" customHeight="1" x14ac:dyDescent="0.2">
      <c r="A30" s="18"/>
      <c r="B30" s="4">
        <v>28</v>
      </c>
      <c r="C30" s="68" t="s">
        <v>79</v>
      </c>
      <c r="D30" s="68" t="s">
        <v>97</v>
      </c>
      <c r="E30" s="68" t="s">
        <v>88</v>
      </c>
      <c r="F30" s="89" t="s">
        <v>107</v>
      </c>
      <c r="G30" s="45">
        <v>41414</v>
      </c>
      <c r="H30" s="45">
        <v>41421</v>
      </c>
      <c r="I30" s="43">
        <v>27</v>
      </c>
      <c r="J30" s="43">
        <v>1</v>
      </c>
      <c r="K30" s="3">
        <v>1</v>
      </c>
      <c r="L30" s="55" t="str">
        <f t="array" ref="L30">IF(ISNA(INDEX($O$2:$DA$2,1,MATCH(1,IF($O30:$DM30,1),0))),"",INDEX($O$2:$DA$2,1,MATCH(1,IF($O30:$DM30,1),0)))</f>
        <v/>
      </c>
      <c r="M30" s="55" t="str">
        <f>IF(ISNA(MATCH("X",O30:W30,0)),"",INDEX($O$2:$X$2,1,MATCH("X",O30:W30,0)-1))</f>
        <v/>
      </c>
      <c r="N30" s="56">
        <f t="shared" si="1"/>
        <v>0</v>
      </c>
      <c r="O30" s="51"/>
      <c r="P30" s="51"/>
      <c r="Q30" s="51"/>
      <c r="R30" s="51"/>
      <c r="S30" s="51"/>
      <c r="T30" s="51"/>
      <c r="U30" s="51"/>
      <c r="V30" s="51"/>
      <c r="W30" s="51"/>
      <c r="X30" s="5"/>
      <c r="Y30" s="18"/>
      <c r="Z30" s="18"/>
      <c r="AA30" s="18"/>
      <c r="AB30" s="18"/>
      <c r="AC30" s="18"/>
      <c r="AD30" s="18"/>
      <c r="AE30" s="18"/>
      <c r="AF30" s="18"/>
      <c r="AG30" s="18"/>
      <c r="AH30" s="18"/>
    </row>
    <row r="31" spans="1:34" ht="25.5" customHeight="1" x14ac:dyDescent="0.2">
      <c r="A31" s="18"/>
      <c r="B31" s="4">
        <v>29</v>
      </c>
      <c r="C31" s="68" t="s">
        <v>79</v>
      </c>
      <c r="D31" s="68" t="s">
        <v>83</v>
      </c>
      <c r="E31" s="28" t="s">
        <v>98</v>
      </c>
      <c r="F31" s="89" t="s">
        <v>106</v>
      </c>
      <c r="G31" s="45">
        <v>41407</v>
      </c>
      <c r="H31" s="45">
        <v>41421</v>
      </c>
      <c r="I31" s="43">
        <v>10</v>
      </c>
      <c r="J31" s="43">
        <v>2</v>
      </c>
      <c r="K31" s="3">
        <v>8</v>
      </c>
      <c r="L31" s="55" t="str">
        <f t="array" ref="L31">IF(ISNA(INDEX($O$2:$DA$2,1,MATCH(1,IF($O31:$DM31,1),0))),"",INDEX($O$2:$DA$2,1,MATCH(1,IF($O31:$DM31,1),0)))</f>
        <v/>
      </c>
      <c r="M31" s="55" t="str">
        <f>IF(ISNA(MATCH("X",O31:W31,0)),"",INDEX($O$2:$X$2,1,MATCH("X",O31:W31,0)-1))</f>
        <v/>
      </c>
      <c r="N31" s="56">
        <f t="shared" si="1"/>
        <v>0</v>
      </c>
      <c r="O31" s="51"/>
      <c r="P31" s="51" t="str">
        <f t="shared" ref="P31" si="4">IF(ISNUMBER(O31)," ",IF(O31="X","X"," "))</f>
        <v xml:space="preserve"> </v>
      </c>
      <c r="Q31" s="51"/>
      <c r="R31" s="51"/>
      <c r="S31" s="51" t="str">
        <f>IF(ISNUMBER(R31)," ",IF(R31="X","X"," "))</f>
        <v xml:space="preserve"> </v>
      </c>
      <c r="T31" s="51" t="str">
        <f>IF(ISNUMBER(S31)," ",IF(S31="X","X"," "))</f>
        <v xml:space="preserve"> </v>
      </c>
      <c r="U31" s="51" t="str">
        <f>IF(ISNUMBER(T31)," ",IF(T31="X","X"," "))</f>
        <v xml:space="preserve"> </v>
      </c>
      <c r="V31" s="51" t="str">
        <f>IF(ISNUMBER(U31)," ",IF(U31="X","X"," "))</f>
        <v xml:space="preserve"> </v>
      </c>
      <c r="W31" s="51" t="str">
        <f>IF(ISNUMBER(V31)," ",IF(V31="X","X"," "))</f>
        <v xml:space="preserve"> </v>
      </c>
      <c r="X31" s="5"/>
      <c r="Y31" s="18"/>
      <c r="Z31" s="18"/>
      <c r="AA31" s="18"/>
      <c r="AB31" s="18"/>
      <c r="AC31" s="18"/>
      <c r="AD31" s="18"/>
      <c r="AE31" s="18"/>
      <c r="AF31" s="18"/>
      <c r="AG31" s="18"/>
      <c r="AH31" s="18"/>
    </row>
    <row r="32" spans="1:34" ht="25.5" customHeight="1" x14ac:dyDescent="0.2">
      <c r="A32" s="18"/>
      <c r="B32" s="4">
        <v>30</v>
      </c>
      <c r="C32" s="68" t="s">
        <v>79</v>
      </c>
      <c r="D32" s="68" t="s">
        <v>83</v>
      </c>
      <c r="E32" s="68" t="s">
        <v>99</v>
      </c>
      <c r="F32" s="89" t="s">
        <v>112</v>
      </c>
      <c r="G32" s="45">
        <v>41407</v>
      </c>
      <c r="H32" s="45">
        <v>41421</v>
      </c>
      <c r="I32" s="43">
        <v>10</v>
      </c>
      <c r="J32" s="43">
        <v>2</v>
      </c>
      <c r="K32" s="3">
        <v>5</v>
      </c>
      <c r="L32" s="55" t="str">
        <f t="array" ref="L32">IF(ISNA(INDEX($O$2:$DA$2,1,MATCH(1,IF($O32:$DM32,1),0))),"",INDEX($O$2:$DA$2,1,MATCH(1,IF($O32:$DM32,1),0)))</f>
        <v/>
      </c>
      <c r="M32" s="55" t="str">
        <f>IF(ISNA(MATCH("X",O32:W32,0)),"",INDEX($O$2:$X$2,1,MATCH("X",O32:W32,0)-1))</f>
        <v/>
      </c>
      <c r="N32" s="56">
        <f t="shared" si="1"/>
        <v>0</v>
      </c>
      <c r="O32" s="51"/>
      <c r="P32" s="51" t="str">
        <f t="shared" ref="P32:R32" si="5">IF(ISNUMBER(O32)," ",IF(O32="X","X"," "))</f>
        <v xml:space="preserve"> </v>
      </c>
      <c r="Q32" s="51" t="str">
        <f t="shared" si="5"/>
        <v xml:space="preserve"> </v>
      </c>
      <c r="R32" s="51" t="str">
        <f t="shared" si="5"/>
        <v xml:space="preserve"> </v>
      </c>
      <c r="S32" s="51" t="str">
        <f>IF(ISNUMBER(R32)," ",IF(R32="X","X"," "))</f>
        <v xml:space="preserve"> </v>
      </c>
      <c r="T32" s="51" t="str">
        <f>IF(ISNUMBER(S32)," ",IF(S32="X","X"," "))</f>
        <v xml:space="preserve"> </v>
      </c>
      <c r="U32" s="51" t="str">
        <f>IF(ISNUMBER(T32)," ",IF(T32="X","X"," "))</f>
        <v xml:space="preserve"> </v>
      </c>
      <c r="V32" s="51" t="str">
        <f>IF(ISNUMBER(U32)," ",IF(U32="X","X"," "))</f>
        <v xml:space="preserve"> </v>
      </c>
      <c r="W32" s="51" t="str">
        <f>IF(ISNUMBER(V32)," ",IF(V32="X","X"," "))</f>
        <v xml:space="preserve"> </v>
      </c>
      <c r="X32" s="5"/>
      <c r="Y32" s="18"/>
      <c r="Z32" s="18"/>
      <c r="AA32" s="18"/>
      <c r="AB32" s="18"/>
      <c r="AC32" s="18"/>
      <c r="AD32" s="18"/>
      <c r="AE32" s="18"/>
      <c r="AF32" s="18"/>
      <c r="AG32" s="18"/>
      <c r="AH32" s="18"/>
    </row>
    <row r="33" spans="1:34" ht="25.5" x14ac:dyDescent="0.2">
      <c r="A33" s="18"/>
      <c r="B33" s="4">
        <v>31</v>
      </c>
      <c r="C33" s="68" t="s">
        <v>79</v>
      </c>
      <c r="D33" s="68" t="s">
        <v>100</v>
      </c>
      <c r="E33" s="68" t="s">
        <v>75</v>
      </c>
      <c r="F33" s="89" t="s">
        <v>122</v>
      </c>
      <c r="G33" s="45">
        <v>41407</v>
      </c>
      <c r="H33" s="45">
        <v>41414</v>
      </c>
      <c r="I33" s="43">
        <v>10</v>
      </c>
      <c r="J33" s="43">
        <v>1</v>
      </c>
      <c r="K33" s="3">
        <v>13</v>
      </c>
      <c r="L33" s="55" t="str">
        <f t="array" ref="L33">IF(ISNA(INDEX($O$2:$DA$2,1,MATCH(1,IF($O33:$DM33,1),0))),"",INDEX($O$2:$DA$2,1,MATCH(1,IF($O33:$DM33,1),0)))</f>
        <v/>
      </c>
      <c r="M33" s="55" t="str">
        <f>IF(ISNA(MATCH("X",O33:W33,0)),"",INDEX($O$2:$X$2,1,MATCH("X",O33:W33,0)-1))</f>
        <v/>
      </c>
      <c r="N33" s="56">
        <f t="shared" si="1"/>
        <v>0</v>
      </c>
      <c r="O33" s="51"/>
      <c r="P33" s="51" t="str">
        <f t="shared" ref="P33:R33" si="6">IF(ISNUMBER(O33)," ",IF(O33="X","X"," "))</f>
        <v xml:space="preserve"> </v>
      </c>
      <c r="Q33" s="51" t="str">
        <f t="shared" si="6"/>
        <v xml:space="preserve"> </v>
      </c>
      <c r="R33" s="51" t="str">
        <f t="shared" si="6"/>
        <v xml:space="preserve"> </v>
      </c>
      <c r="S33" s="51" t="str">
        <f>IF(ISNUMBER(R33)," ",IF(R33="X","X"," "))</f>
        <v xml:space="preserve"> </v>
      </c>
      <c r="T33" s="51" t="str">
        <f>IF(ISNUMBER(S33)," ",IF(S33="X","X"," "))</f>
        <v xml:space="preserve"> </v>
      </c>
      <c r="U33" s="51" t="str">
        <f>IF(ISNUMBER(T33)," ",IF(T33="X","X"," "))</f>
        <v xml:space="preserve"> </v>
      </c>
      <c r="V33" s="51" t="str">
        <f>IF(ISNUMBER(U33)," ",IF(U33="X","X"," "))</f>
        <v xml:space="preserve"> </v>
      </c>
      <c r="W33" s="51" t="str">
        <f>IF(ISNUMBER(V33)," ",IF(V33="X","X"," "))</f>
        <v xml:space="preserve"> </v>
      </c>
      <c r="X33" s="5"/>
      <c r="Y33" s="18"/>
      <c r="Z33" s="18"/>
      <c r="AA33" s="18"/>
      <c r="AB33" s="18"/>
      <c r="AC33" s="18"/>
      <c r="AD33" s="18"/>
      <c r="AE33" s="18"/>
      <c r="AF33" s="18"/>
      <c r="AG33" s="18"/>
      <c r="AH33" s="18"/>
    </row>
    <row r="34" spans="1:34" ht="25.5" x14ac:dyDescent="0.2">
      <c r="A34" s="18"/>
      <c r="B34" s="4">
        <v>32</v>
      </c>
      <c r="C34" s="68" t="s">
        <v>79</v>
      </c>
      <c r="D34" s="68" t="s">
        <v>100</v>
      </c>
      <c r="E34" s="68" t="s">
        <v>76</v>
      </c>
      <c r="F34" s="89" t="s">
        <v>122</v>
      </c>
      <c r="G34" s="45">
        <v>41407</v>
      </c>
      <c r="H34" s="45">
        <v>41414</v>
      </c>
      <c r="I34" s="43">
        <v>31</v>
      </c>
      <c r="J34" s="43">
        <v>1.5</v>
      </c>
      <c r="K34" s="3">
        <v>20</v>
      </c>
      <c r="L34" s="55" t="str">
        <f t="array" ref="L34">IF(ISNA(INDEX($O$2:$DA$2,1,MATCH(1,IF($O34:$DM34,1),0))),"",INDEX($O$2:$DA$2,1,MATCH(1,IF($O34:$DM34,1),0)))</f>
        <v/>
      </c>
      <c r="M34" s="55" t="str">
        <f>IF(ISNA(MATCH("X",O34:W34,0)),"",INDEX($O$2:$X$2,1,MATCH("X",O34:W34,0)-1))</f>
        <v/>
      </c>
      <c r="N34" s="56">
        <f t="shared" si="1"/>
        <v>0</v>
      </c>
      <c r="O34" s="51"/>
      <c r="P34" s="51" t="str">
        <f t="shared" ref="P34:R34" si="7">IF(ISNUMBER(O34)," ",IF(O34="X","X"," "))</f>
        <v xml:space="preserve"> </v>
      </c>
      <c r="Q34" s="51" t="str">
        <f t="shared" si="7"/>
        <v xml:space="preserve"> </v>
      </c>
      <c r="R34" s="51" t="str">
        <f t="shared" si="7"/>
        <v xml:space="preserve"> </v>
      </c>
      <c r="S34" s="51" t="str">
        <f>IF(ISNUMBER(R34)," ",IF(R34="X","X"," "))</f>
        <v xml:space="preserve"> </v>
      </c>
      <c r="T34" s="51" t="str">
        <f>IF(ISNUMBER(S34)," ",IF(S34="X","X"," "))</f>
        <v xml:space="preserve"> </v>
      </c>
      <c r="U34" s="51" t="str">
        <f>IF(ISNUMBER(T34)," ",IF(T34="X","X"," "))</f>
        <v xml:space="preserve"> </v>
      </c>
      <c r="V34" s="51" t="str">
        <f>IF(ISNUMBER(U34)," ",IF(U34="X","X"," "))</f>
        <v xml:space="preserve"> </v>
      </c>
      <c r="W34" s="51" t="str">
        <f>IF(ISNUMBER(V34)," ",IF(V34="X","X"," "))</f>
        <v xml:space="preserve"> </v>
      </c>
      <c r="X34" s="5"/>
      <c r="Y34" s="18"/>
      <c r="Z34" s="18"/>
      <c r="AA34" s="18"/>
      <c r="AB34" s="18"/>
      <c r="AC34" s="18"/>
      <c r="AD34" s="18"/>
      <c r="AE34" s="18"/>
      <c r="AF34" s="18"/>
      <c r="AG34" s="18"/>
      <c r="AH34" s="18"/>
    </row>
    <row r="35" spans="1:34" ht="25.5" customHeight="1" x14ac:dyDescent="0.2">
      <c r="A35" s="18"/>
      <c r="B35" s="4">
        <v>33</v>
      </c>
      <c r="C35" s="68" t="s">
        <v>79</v>
      </c>
      <c r="D35" s="68" t="s">
        <v>100</v>
      </c>
      <c r="E35" s="68" t="s">
        <v>77</v>
      </c>
      <c r="F35" s="89" t="s">
        <v>107</v>
      </c>
      <c r="G35" s="45">
        <v>41414</v>
      </c>
      <c r="H35" s="45">
        <v>41421</v>
      </c>
      <c r="I35" s="43">
        <v>32</v>
      </c>
      <c r="J35" s="43">
        <v>1</v>
      </c>
      <c r="K35" s="3">
        <v>8</v>
      </c>
      <c r="L35" s="55" t="str">
        <f t="array" ref="L35">IF(ISNA(INDEX($O$2:$DA$2,1,MATCH(1,IF($O35:$DM35,1),0))),"",INDEX($O$2:$DA$2,1,MATCH(1,IF($O35:$DM35,1),0)))</f>
        <v/>
      </c>
      <c r="M35" s="55" t="str">
        <f>IF(ISNA(MATCH("X",O35:W35,0)),"",INDEX($O$2:$X$2,1,MATCH("X",O35:W35,0)-1))</f>
        <v/>
      </c>
      <c r="N35" s="56">
        <f t="shared" si="1"/>
        <v>0</v>
      </c>
      <c r="O35" s="51"/>
      <c r="P35" s="51" t="str">
        <f t="shared" ref="P35:R35" si="8">IF(ISNUMBER(O35)," ",IF(O35="X","X"," "))</f>
        <v xml:space="preserve"> </v>
      </c>
      <c r="Q35" s="51" t="str">
        <f t="shared" si="8"/>
        <v xml:space="preserve"> </v>
      </c>
      <c r="R35" s="51" t="str">
        <f t="shared" si="8"/>
        <v xml:space="preserve"> </v>
      </c>
      <c r="S35" s="51" t="str">
        <f>IF(ISNUMBER(R35)," ",IF(R35="X","X"," "))</f>
        <v xml:space="preserve"> </v>
      </c>
      <c r="T35" s="51" t="str">
        <f>IF(ISNUMBER(S35)," ",IF(S35="X","X"," "))</f>
        <v xml:space="preserve"> </v>
      </c>
      <c r="U35" s="51" t="str">
        <f>IF(ISNUMBER(T35)," ",IF(T35="X","X"," "))</f>
        <v xml:space="preserve"> </v>
      </c>
      <c r="V35" s="51" t="str">
        <f>IF(ISNUMBER(U35)," ",IF(U35="X","X"," "))</f>
        <v xml:space="preserve"> </v>
      </c>
      <c r="W35" s="51" t="str">
        <f>IF(ISNUMBER(V35)," ",IF(V35="X","X"," "))</f>
        <v xml:space="preserve"> </v>
      </c>
      <c r="X35" s="5"/>
      <c r="Y35" s="18"/>
      <c r="Z35" s="18"/>
      <c r="AA35" s="18"/>
      <c r="AB35" s="18"/>
      <c r="AC35" s="18"/>
      <c r="AD35" s="18"/>
      <c r="AE35" s="18"/>
      <c r="AF35" s="18"/>
      <c r="AG35" s="18"/>
      <c r="AH35" s="18"/>
    </row>
    <row r="36" spans="1:34" ht="25.5" customHeight="1" x14ac:dyDescent="0.2">
      <c r="A36" s="18"/>
      <c r="B36" s="4">
        <v>34</v>
      </c>
      <c r="C36" s="68" t="s">
        <v>79</v>
      </c>
      <c r="D36" s="68" t="s">
        <v>101</v>
      </c>
      <c r="E36" s="68" t="s">
        <v>102</v>
      </c>
      <c r="F36" s="89" t="s">
        <v>120</v>
      </c>
      <c r="G36" s="45">
        <v>41421</v>
      </c>
      <c r="H36" s="45">
        <v>41428</v>
      </c>
      <c r="I36" s="43">
        <v>33</v>
      </c>
      <c r="J36" s="43">
        <v>2</v>
      </c>
      <c r="K36" s="3">
        <v>13</v>
      </c>
      <c r="L36" s="55" t="str">
        <f t="array" ref="L36">IF(ISNA(INDEX($O$2:$DA$2,1,MATCH(1,IF($O36:$DM36,1),0))),"",INDEX($O$2:$DA$2,1,MATCH(1,IF($O36:$DM36,1),0)))</f>
        <v/>
      </c>
      <c r="M36" s="55" t="str">
        <f>IF(ISNA(MATCH("X",O36:W36,0)),"",INDEX($O$2:$X$2,1,MATCH("X",O36:W36,0)-1))</f>
        <v/>
      </c>
      <c r="N36" s="56">
        <f t="shared" si="1"/>
        <v>0</v>
      </c>
      <c r="O36" s="51"/>
      <c r="P36" s="51" t="str">
        <f t="shared" ref="P36:R36" si="9">IF(ISNUMBER(O36)," ",IF(O36="X","X"," "))</f>
        <v xml:space="preserve"> </v>
      </c>
      <c r="Q36" s="51" t="str">
        <f t="shared" si="9"/>
        <v xml:space="preserve"> </v>
      </c>
      <c r="R36" s="51" t="str">
        <f t="shared" si="9"/>
        <v xml:space="preserve"> </v>
      </c>
      <c r="S36" s="51" t="str">
        <f>IF(ISNUMBER(R36)," ",IF(R36="X","X"," "))</f>
        <v xml:space="preserve"> </v>
      </c>
      <c r="T36" s="51" t="str">
        <f>IF(ISNUMBER(S36)," ",IF(S36="X","X"," "))</f>
        <v xml:space="preserve"> </v>
      </c>
      <c r="U36" s="51" t="str">
        <f>IF(ISNUMBER(T36)," ",IF(T36="X","X"," "))</f>
        <v xml:space="preserve"> </v>
      </c>
      <c r="V36" s="51" t="str">
        <f>IF(ISNUMBER(U36)," ",IF(U36="X","X"," "))</f>
        <v xml:space="preserve"> </v>
      </c>
      <c r="W36" s="51" t="str">
        <f>IF(ISNUMBER(V36)," ",IF(V36="X","X"," "))</f>
        <v xml:space="preserve"> </v>
      </c>
      <c r="X36" s="5"/>
      <c r="Y36" s="18"/>
      <c r="Z36" s="18"/>
      <c r="AA36" s="18"/>
      <c r="AB36" s="18"/>
      <c r="AC36" s="18"/>
      <c r="AD36" s="18"/>
      <c r="AE36" s="18"/>
      <c r="AF36" s="18"/>
      <c r="AG36" s="18"/>
      <c r="AH36" s="18"/>
    </row>
    <row r="37" spans="1:34" ht="24.75" customHeight="1" x14ac:dyDescent="0.2">
      <c r="A37" s="18"/>
      <c r="B37" s="4">
        <v>35</v>
      </c>
      <c r="C37" s="68" t="s">
        <v>79</v>
      </c>
      <c r="D37" s="68" t="s">
        <v>101</v>
      </c>
      <c r="E37" s="68" t="s">
        <v>103</v>
      </c>
      <c r="F37" s="89" t="s">
        <v>121</v>
      </c>
      <c r="G37" s="45">
        <v>41421</v>
      </c>
      <c r="H37" s="45">
        <v>41428</v>
      </c>
      <c r="I37" s="43">
        <v>33</v>
      </c>
      <c r="J37" s="43">
        <v>2</v>
      </c>
      <c r="K37" s="3">
        <v>20</v>
      </c>
      <c r="L37" s="55" t="str">
        <f t="array" ref="L37">IF(ISNA(INDEX($O$2:$DA$2,1,MATCH(1,IF($O37:$DM37,1),0))),"",INDEX($O$2:$DA$2,1,MATCH(1,IF($O37:$DM37,1),0)))</f>
        <v/>
      </c>
      <c r="M37" s="55" t="str">
        <f>IF(ISNA(MATCH("X",O37:W37,0)),"",INDEX($O$2:$X$2,1,MATCH("X",O37:W37,0)-1))</f>
        <v/>
      </c>
      <c r="N37" s="56">
        <f t="shared" si="1"/>
        <v>0</v>
      </c>
      <c r="O37" s="51"/>
      <c r="P37" s="51" t="str">
        <f t="shared" ref="P37:R37" si="10">IF(ISNUMBER(O37)," ",IF(O37="X","X"," "))</f>
        <v xml:space="preserve"> </v>
      </c>
      <c r="Q37" s="51" t="str">
        <f t="shared" si="10"/>
        <v xml:space="preserve"> </v>
      </c>
      <c r="R37" s="51" t="str">
        <f t="shared" si="10"/>
        <v xml:space="preserve"> </v>
      </c>
      <c r="S37" s="51" t="str">
        <f>IF(ISNUMBER(R37)," ",IF(R37="X","X"," "))</f>
        <v xml:space="preserve"> </v>
      </c>
      <c r="T37" s="51" t="str">
        <f>IF(ISNUMBER(S37)," ",IF(S37="X","X"," "))</f>
        <v xml:space="preserve"> </v>
      </c>
      <c r="U37" s="51" t="str">
        <f>IF(ISNUMBER(T37)," ",IF(T37="X","X"," "))</f>
        <v xml:space="preserve"> </v>
      </c>
      <c r="V37" s="51" t="str">
        <f>IF(ISNUMBER(U37)," ",IF(U37="X","X"," "))</f>
        <v xml:space="preserve"> </v>
      </c>
      <c r="W37" s="51" t="str">
        <f>IF(ISNUMBER(V37)," ",IF(V37="X","X"," "))</f>
        <v xml:space="preserve"> </v>
      </c>
      <c r="X37" s="5"/>
      <c r="Y37" s="18"/>
      <c r="Z37" s="18"/>
      <c r="AA37" s="18"/>
      <c r="AB37" s="18"/>
      <c r="AC37" s="18"/>
      <c r="AD37" s="18"/>
      <c r="AE37" s="18"/>
      <c r="AF37" s="18"/>
      <c r="AG37" s="18"/>
      <c r="AH37" s="18"/>
    </row>
    <row r="38" spans="1:34" x14ac:dyDescent="0.2">
      <c r="A38" s="18"/>
      <c r="B38" s="4">
        <v>36</v>
      </c>
      <c r="C38" s="68" t="s">
        <v>125</v>
      </c>
      <c r="D38" s="68" t="s">
        <v>126</v>
      </c>
      <c r="E38" s="68"/>
      <c r="F38" s="17" t="s">
        <v>133</v>
      </c>
      <c r="G38" s="45">
        <v>41372</v>
      </c>
      <c r="H38" s="45">
        <v>41379</v>
      </c>
      <c r="I38" s="46"/>
      <c r="J38" s="43">
        <v>1</v>
      </c>
      <c r="K38" s="3">
        <v>5</v>
      </c>
      <c r="L38" s="55">
        <f t="array" ref="L38">IF(ISNA(INDEX($O$2:$DA$2,1,MATCH(1,IF($O38:$DM38,1),0))),"",INDEX($O$2:$DA$2,1,MATCH(1,IF($O38:$DM38,1),0)))</f>
        <v>41372</v>
      </c>
      <c r="M38" s="55">
        <f>IF(ISNA(MATCH("X",O38:W38,0)),"",INDEX($O$2:$X$2,1,MATCH("X",O38:W38,0)-1))</f>
        <v>41372</v>
      </c>
      <c r="N38" s="56">
        <f t="shared" si="1"/>
        <v>1</v>
      </c>
      <c r="O38" s="51">
        <v>1</v>
      </c>
      <c r="P38" s="51" t="s">
        <v>124</v>
      </c>
      <c r="Q38" s="51" t="str">
        <f t="shared" ref="Q38:R38" si="11">IF(ISNUMBER(P38)," ",IF(P38="X","X"," "))</f>
        <v>X</v>
      </c>
      <c r="R38" s="51" t="str">
        <f t="shared" si="11"/>
        <v>X</v>
      </c>
      <c r="S38" s="51" t="str">
        <f>IF(ISNUMBER(R38)," ",IF(R38="X","X"," "))</f>
        <v>X</v>
      </c>
      <c r="T38" s="51" t="str">
        <f>IF(ISNUMBER(S38)," ",IF(S38="X","X"," "))</f>
        <v>X</v>
      </c>
      <c r="U38" s="51" t="str">
        <f>IF(ISNUMBER(T38)," ",IF(T38="X","X"," "))</f>
        <v>X</v>
      </c>
      <c r="V38" s="51" t="str">
        <f>IF(ISNUMBER(U38)," ",IF(U38="X","X"," "))</f>
        <v>X</v>
      </c>
      <c r="W38" s="51" t="str">
        <f>IF(ISNUMBER(V38)," ",IF(V38="X","X"," "))</f>
        <v>X</v>
      </c>
      <c r="X38" s="5"/>
      <c r="Y38" s="18"/>
      <c r="Z38" s="18"/>
      <c r="AA38" s="18"/>
      <c r="AB38" s="18"/>
      <c r="AC38" s="18"/>
      <c r="AD38" s="18"/>
      <c r="AE38" s="18"/>
      <c r="AF38" s="18"/>
      <c r="AG38" s="18"/>
      <c r="AH38" s="18"/>
    </row>
    <row r="39" spans="1:34" x14ac:dyDescent="0.2">
      <c r="A39" s="18"/>
      <c r="B39" s="4">
        <v>37</v>
      </c>
      <c r="C39" s="68" t="s">
        <v>125</v>
      </c>
      <c r="D39" s="68" t="s">
        <v>127</v>
      </c>
      <c r="E39" s="4"/>
      <c r="F39" s="17"/>
      <c r="G39" s="45">
        <v>41379</v>
      </c>
      <c r="H39" s="45">
        <v>41386</v>
      </c>
      <c r="I39" s="43">
        <v>36</v>
      </c>
      <c r="J39" s="43">
        <v>1</v>
      </c>
      <c r="K39" s="3">
        <v>5</v>
      </c>
      <c r="L39" s="55">
        <f t="array" ref="L39">IF(ISNA(INDEX($O$2:$DA$2,1,MATCH(1,IF($O39:$DM39,1),0))),"",INDEX($O$2:$DA$2,1,MATCH(1,IF($O39:$DM39,1),0)))</f>
        <v>41379</v>
      </c>
      <c r="M39" s="55">
        <f>IF(ISNA(MATCH("X",O39:W39,0)),"",INDEX($O$2:$X$2,1,MATCH("X",O39:W39,0)-1))</f>
        <v>41379</v>
      </c>
      <c r="N39" s="56">
        <f t="shared" si="1"/>
        <v>0.25</v>
      </c>
      <c r="O39" s="51"/>
      <c r="P39" s="51">
        <v>0.25</v>
      </c>
      <c r="Q39" s="51" t="s">
        <v>124</v>
      </c>
      <c r="R39" s="51" t="str">
        <f t="shared" ref="R39:R40" si="12">IF(ISNUMBER(Q39)," ",IF(Q39="X","X"," "))</f>
        <v>X</v>
      </c>
      <c r="S39" s="51" t="str">
        <f>IF(ISNUMBER(R39)," ",IF(R39="X","X"," "))</f>
        <v>X</v>
      </c>
      <c r="T39" s="51" t="str">
        <f>IF(ISNUMBER(S39)," ",IF(S39="X","X"," "))</f>
        <v>X</v>
      </c>
      <c r="U39" s="51" t="str">
        <f>IF(ISNUMBER(T39)," ",IF(T39="X","X"," "))</f>
        <v>X</v>
      </c>
      <c r="V39" s="51" t="str">
        <f>IF(ISNUMBER(U39)," ",IF(U39="X","X"," "))</f>
        <v>X</v>
      </c>
      <c r="W39" s="51" t="str">
        <f>IF(ISNUMBER(V39)," ",IF(V39="X","X"," "))</f>
        <v>X</v>
      </c>
      <c r="X39" s="5"/>
      <c r="Y39" s="18"/>
      <c r="Z39" s="18"/>
      <c r="AA39" s="18"/>
      <c r="AB39" s="18"/>
      <c r="AC39" s="18"/>
      <c r="AD39" s="18"/>
      <c r="AE39" s="18"/>
      <c r="AF39" s="18"/>
      <c r="AG39" s="18"/>
      <c r="AH39" s="18"/>
    </row>
    <row r="40" spans="1:34" x14ac:dyDescent="0.2">
      <c r="A40" s="18"/>
      <c r="B40" s="4">
        <v>38</v>
      </c>
      <c r="C40" s="68" t="s">
        <v>125</v>
      </c>
      <c r="D40" s="68" t="s">
        <v>128</v>
      </c>
      <c r="E40" s="68"/>
      <c r="F40" s="17"/>
      <c r="G40" s="45">
        <v>41386</v>
      </c>
      <c r="H40" s="45">
        <v>41393</v>
      </c>
      <c r="I40" s="43">
        <v>37</v>
      </c>
      <c r="J40" s="43">
        <v>1</v>
      </c>
      <c r="K40" s="3">
        <v>5</v>
      </c>
      <c r="L40" s="55" t="str">
        <f t="array" ref="L40">IF(ISNA(INDEX($O$2:$DA$2,1,MATCH(1,IF($O40:$DM40,1),0))),"",INDEX($O$2:$DA$2,1,MATCH(1,IF($O40:$DM40,1),0)))</f>
        <v/>
      </c>
      <c r="M40" s="55" t="str">
        <f>IF(ISNA(MATCH("X",O40:W40,0)),"",INDEX($O$2:$X$2,1,MATCH("X",O40:W40,0)-1))</f>
        <v/>
      </c>
      <c r="N40" s="56">
        <f t="shared" ref="N40:N49" si="13">SUM(O40:CG40)</f>
        <v>0</v>
      </c>
      <c r="O40" s="51"/>
      <c r="P40" s="51" t="str">
        <f t="shared" ref="P39:P40" si="14">IF(ISNUMBER(O40)," ",IF(O40="X","X"," "))</f>
        <v xml:space="preserve"> </v>
      </c>
      <c r="Q40" s="51" t="str">
        <f t="shared" ref="Q39:Q40" si="15">IF(ISNUMBER(P40)," ",IF(P40="X","X"," "))</f>
        <v xml:space="preserve"> </v>
      </c>
      <c r="R40" s="51" t="str">
        <f t="shared" si="12"/>
        <v xml:space="preserve"> </v>
      </c>
      <c r="S40" s="51" t="str">
        <f>IF(ISNUMBER(R40)," ",IF(R40="X","X"," "))</f>
        <v xml:space="preserve"> </v>
      </c>
      <c r="T40" s="51" t="str">
        <f t="shared" ref="T40:T49" si="16">IF(ISNUMBER(S40)," ",IF(S40="X","X"," "))</f>
        <v xml:space="preserve"> </v>
      </c>
      <c r="U40" s="51" t="str">
        <f t="shared" ref="U40:U49" si="17">IF(ISNUMBER(T40)," ",IF(T40="X","X"," "))</f>
        <v xml:space="preserve"> </v>
      </c>
      <c r="V40" s="51" t="str">
        <f t="shared" ref="V40:V49" si="18">IF(ISNUMBER(U40)," ",IF(U40="X","X"," "))</f>
        <v xml:space="preserve"> </v>
      </c>
      <c r="W40" s="51" t="str">
        <f>IF(ISNUMBER(V40)," ",IF(V40="X","X"," "))</f>
        <v xml:space="preserve"> </v>
      </c>
      <c r="X40" s="5"/>
      <c r="Y40" s="18"/>
      <c r="Z40" s="18"/>
      <c r="AA40" s="18"/>
      <c r="AB40" s="18"/>
      <c r="AC40" s="18"/>
      <c r="AD40" s="18"/>
      <c r="AE40" s="18"/>
      <c r="AF40" s="18"/>
      <c r="AG40" s="18"/>
      <c r="AH40" s="18"/>
    </row>
    <row r="41" spans="1:34" x14ac:dyDescent="0.2">
      <c r="A41" s="18"/>
      <c r="B41" s="4">
        <v>39</v>
      </c>
      <c r="C41" s="68" t="s">
        <v>125</v>
      </c>
      <c r="D41" s="68" t="s">
        <v>129</v>
      </c>
      <c r="E41" s="4"/>
      <c r="F41" s="17"/>
      <c r="G41" s="45">
        <v>41393</v>
      </c>
      <c r="H41" s="45">
        <v>41400</v>
      </c>
      <c r="I41" s="43">
        <v>38</v>
      </c>
      <c r="J41" s="43">
        <v>1</v>
      </c>
      <c r="K41" s="3">
        <v>5</v>
      </c>
      <c r="L41" s="55" t="str">
        <f t="array" ref="L41">IF(ISNA(INDEX($O$2:$DA$2,1,MATCH(1,IF($O41:$DM41,1),0))),"",INDEX($O$2:$DA$2,1,MATCH(1,IF($O41:$DM41,1),0)))</f>
        <v/>
      </c>
      <c r="M41" s="55" t="str">
        <f>IF(ISNA(MATCH("X",O41:W41,0)),"",INDEX($O$2:$X$2,1,MATCH("X",O41:W41,0)-1))</f>
        <v/>
      </c>
      <c r="N41" s="56">
        <f t="shared" si="13"/>
        <v>0</v>
      </c>
      <c r="O41" s="51"/>
      <c r="P41" s="51" t="str">
        <f t="shared" ref="P41:P49" si="19">IF(ISNUMBER(O41)," ",IF(O41="X","X"," "))</f>
        <v xml:space="preserve"> </v>
      </c>
      <c r="Q41" s="51" t="str">
        <f t="shared" ref="Q41:Q49" si="20">IF(ISNUMBER(P41)," ",IF(P41="X","X"," "))</f>
        <v xml:space="preserve"> </v>
      </c>
      <c r="R41" s="51" t="str">
        <f t="shared" ref="R41:R49" si="21">IF(ISNUMBER(Q41)," ",IF(Q41="X","X"," "))</f>
        <v xml:space="preserve"> </v>
      </c>
      <c r="S41" s="51" t="str">
        <f>IF(ISNUMBER(R41)," ",IF(R41="X","X"," "))</f>
        <v xml:space="preserve"> </v>
      </c>
      <c r="T41" s="51" t="str">
        <f t="shared" si="16"/>
        <v xml:space="preserve"> </v>
      </c>
      <c r="U41" s="51" t="str">
        <f t="shared" si="17"/>
        <v xml:space="preserve"> </v>
      </c>
      <c r="V41" s="51" t="str">
        <f t="shared" si="18"/>
        <v xml:space="preserve"> </v>
      </c>
      <c r="W41" s="51" t="str">
        <f t="shared" ref="W41:W49" si="22">IF(ISNUMBER(V41)," ",IF(V41="X","X"," "))</f>
        <v xml:space="preserve"> </v>
      </c>
      <c r="X41" s="5"/>
      <c r="Y41" s="18"/>
      <c r="Z41" s="18"/>
      <c r="AA41" s="18"/>
      <c r="AB41" s="18"/>
      <c r="AC41" s="18"/>
      <c r="AD41" s="18"/>
      <c r="AE41" s="18"/>
      <c r="AF41" s="18"/>
      <c r="AG41" s="18"/>
      <c r="AH41" s="18"/>
    </row>
    <row r="42" spans="1:34" x14ac:dyDescent="0.2">
      <c r="A42" s="18"/>
      <c r="B42" s="4">
        <v>40</v>
      </c>
      <c r="C42" s="68" t="s">
        <v>125</v>
      </c>
      <c r="D42" s="68" t="s">
        <v>130</v>
      </c>
      <c r="E42" s="68"/>
      <c r="F42" s="17"/>
      <c r="G42" s="45">
        <v>41400</v>
      </c>
      <c r="H42" s="45">
        <v>41407</v>
      </c>
      <c r="I42" s="43">
        <v>39</v>
      </c>
      <c r="J42" s="43">
        <v>1</v>
      </c>
      <c r="K42" s="3">
        <v>5</v>
      </c>
      <c r="L42" s="55" t="str">
        <f t="array" ref="L42">IF(ISNA(INDEX($O$2:$DA$2,1,MATCH(1,IF($O42:$DM42,1),0))),"",INDEX($O$2:$DA$2,1,MATCH(1,IF($O42:$DM42,1),0)))</f>
        <v/>
      </c>
      <c r="M42" s="55" t="str">
        <f>IF(ISNA(MATCH("X",O42:W42,0)),"",INDEX($O$2:$X$2,1,MATCH("X",O42:W42,0)-1))</f>
        <v/>
      </c>
      <c r="N42" s="56">
        <f t="shared" si="13"/>
        <v>0</v>
      </c>
      <c r="O42" s="51"/>
      <c r="P42" s="51" t="str">
        <f t="shared" si="19"/>
        <v xml:space="preserve"> </v>
      </c>
      <c r="Q42" s="51" t="str">
        <f t="shared" si="20"/>
        <v xml:space="preserve"> </v>
      </c>
      <c r="R42" s="51" t="str">
        <f t="shared" si="21"/>
        <v xml:space="preserve"> </v>
      </c>
      <c r="S42" s="51" t="str">
        <f>IF(ISNUMBER(R42)," ",IF(R42="X","X"," "))</f>
        <v xml:space="preserve"> </v>
      </c>
      <c r="T42" s="51" t="str">
        <f t="shared" si="16"/>
        <v xml:space="preserve"> </v>
      </c>
      <c r="U42" s="51" t="str">
        <f t="shared" si="17"/>
        <v xml:space="preserve"> </v>
      </c>
      <c r="V42" s="51" t="str">
        <f t="shared" si="18"/>
        <v xml:space="preserve"> </v>
      </c>
      <c r="W42" s="51" t="str">
        <f t="shared" si="22"/>
        <v xml:space="preserve"> </v>
      </c>
      <c r="X42" s="5"/>
      <c r="Y42" s="18"/>
      <c r="Z42" s="18"/>
      <c r="AA42" s="18"/>
      <c r="AB42" s="18"/>
      <c r="AC42" s="18"/>
      <c r="AD42" s="18"/>
      <c r="AE42" s="18"/>
      <c r="AF42" s="18"/>
      <c r="AG42" s="18"/>
      <c r="AH42" s="18"/>
    </row>
    <row r="43" spans="1:34" s="33" customFormat="1" ht="12.75" customHeight="1" x14ac:dyDescent="0.2">
      <c r="A43" s="29"/>
      <c r="B43" s="4">
        <v>41</v>
      </c>
      <c r="C43" s="68" t="s">
        <v>125</v>
      </c>
      <c r="D43" s="68" t="s">
        <v>131</v>
      </c>
      <c r="E43" s="4"/>
      <c r="F43" s="17"/>
      <c r="G43" s="45">
        <v>41407</v>
      </c>
      <c r="H43" s="45">
        <v>41414</v>
      </c>
      <c r="I43" s="43">
        <v>40</v>
      </c>
      <c r="J43" s="43">
        <v>1</v>
      </c>
      <c r="K43" s="3">
        <v>5</v>
      </c>
      <c r="L43" s="55" t="str">
        <f t="array" ref="L43">IF(ISNA(INDEX($O$2:$DA$2,1,MATCH(1,IF($O43:$DM43,1),0))),"",INDEX($O$2:$DA$2,1,MATCH(1,IF($O43:$DM43,1),0)))</f>
        <v/>
      </c>
      <c r="M43" s="55" t="str">
        <f>IF(ISNA(MATCH("X",O43:W43,0)),"",INDEX($O$2:$X$2,1,MATCH("X",O43:W43,0)-1))</f>
        <v/>
      </c>
      <c r="N43" s="56">
        <f t="shared" si="13"/>
        <v>0</v>
      </c>
      <c r="O43" s="51"/>
      <c r="P43" s="51" t="str">
        <f t="shared" si="19"/>
        <v xml:space="preserve"> </v>
      </c>
      <c r="Q43" s="51" t="str">
        <f t="shared" si="20"/>
        <v xml:space="preserve"> </v>
      </c>
      <c r="R43" s="51" t="str">
        <f t="shared" si="21"/>
        <v xml:space="preserve"> </v>
      </c>
      <c r="S43" s="51" t="str">
        <f>IF(ISNUMBER(R43)," ",IF(R43="X","X"," "))</f>
        <v xml:space="preserve"> </v>
      </c>
      <c r="T43" s="51" t="str">
        <f t="shared" si="16"/>
        <v xml:space="preserve"> </v>
      </c>
      <c r="U43" s="51" t="str">
        <f t="shared" si="17"/>
        <v xml:space="preserve"> </v>
      </c>
      <c r="V43" s="51" t="str">
        <f t="shared" si="18"/>
        <v xml:space="preserve"> </v>
      </c>
      <c r="W43" s="51" t="str">
        <f t="shared" si="22"/>
        <v xml:space="preserve"> </v>
      </c>
      <c r="X43" s="5"/>
      <c r="Y43" s="29"/>
      <c r="Z43" s="29"/>
      <c r="AA43" s="29"/>
      <c r="AB43" s="29"/>
      <c r="AC43" s="29"/>
      <c r="AD43" s="29"/>
      <c r="AE43" s="29"/>
      <c r="AF43" s="29"/>
      <c r="AG43" s="29"/>
      <c r="AH43" s="29"/>
    </row>
    <row r="44" spans="1:34" s="33" customFormat="1" ht="12.75" customHeight="1" x14ac:dyDescent="0.2">
      <c r="A44" s="29"/>
      <c r="B44" s="4">
        <v>42</v>
      </c>
      <c r="C44" s="68" t="s">
        <v>125</v>
      </c>
      <c r="D44" s="68" t="s">
        <v>132</v>
      </c>
      <c r="E44" s="68"/>
      <c r="F44" s="17"/>
      <c r="G44" s="45">
        <v>41414</v>
      </c>
      <c r="H44" s="45">
        <v>41421</v>
      </c>
      <c r="I44" s="43">
        <v>41</v>
      </c>
      <c r="J44" s="43">
        <v>1</v>
      </c>
      <c r="K44" s="3">
        <v>5</v>
      </c>
      <c r="L44" s="55" t="str">
        <f t="array" ref="L44">IF(ISNA(INDEX($O$2:$DA$2,1,MATCH(1,IF($O44:$DM44,1),0))),"",INDEX($O$2:$DA$2,1,MATCH(1,IF($O44:$DM44,1),0)))</f>
        <v/>
      </c>
      <c r="M44" s="55" t="str">
        <f>IF(ISNA(MATCH("X",O44:W44,0)),"",INDEX($O$2:$X$2,1,MATCH("X",O44:W44,0)-1))</f>
        <v/>
      </c>
      <c r="N44" s="56">
        <f t="shared" si="13"/>
        <v>0</v>
      </c>
      <c r="O44" s="51"/>
      <c r="P44" s="51" t="str">
        <f t="shared" si="19"/>
        <v xml:space="preserve"> </v>
      </c>
      <c r="Q44" s="51" t="str">
        <f t="shared" si="20"/>
        <v xml:space="preserve"> </v>
      </c>
      <c r="R44" s="51" t="str">
        <f t="shared" si="21"/>
        <v xml:space="preserve"> </v>
      </c>
      <c r="S44" s="51" t="str">
        <f>IF(ISNUMBER(R44)," ",IF(R44="X","X"," "))</f>
        <v xml:space="preserve"> </v>
      </c>
      <c r="T44" s="51" t="str">
        <f t="shared" si="16"/>
        <v xml:space="preserve"> </v>
      </c>
      <c r="U44" s="51" t="str">
        <f t="shared" si="17"/>
        <v xml:space="preserve"> </v>
      </c>
      <c r="V44" s="51" t="str">
        <f t="shared" si="18"/>
        <v xml:space="preserve"> </v>
      </c>
      <c r="W44" s="51" t="str">
        <f t="shared" si="22"/>
        <v xml:space="preserve"> </v>
      </c>
      <c r="X44" s="5"/>
      <c r="Y44" s="29"/>
      <c r="Z44" s="29"/>
      <c r="AA44" s="29"/>
      <c r="AB44" s="29"/>
      <c r="AC44" s="29"/>
      <c r="AD44" s="29"/>
      <c r="AE44" s="29"/>
      <c r="AF44" s="29"/>
      <c r="AG44" s="29"/>
      <c r="AH44" s="29"/>
    </row>
    <row r="45" spans="1:34" ht="12.75" customHeight="1" x14ac:dyDescent="0.2">
      <c r="A45" s="18"/>
      <c r="B45" s="4">
        <v>43</v>
      </c>
      <c r="C45" s="68" t="s">
        <v>125</v>
      </c>
      <c r="D45" s="68" t="s">
        <v>134</v>
      </c>
      <c r="E45" s="4"/>
      <c r="F45" s="17"/>
      <c r="G45" s="45">
        <v>41421</v>
      </c>
      <c r="H45" s="45">
        <v>41428</v>
      </c>
      <c r="I45" s="43">
        <v>42</v>
      </c>
      <c r="J45" s="43">
        <v>1</v>
      </c>
      <c r="K45" s="3">
        <v>5</v>
      </c>
      <c r="L45" s="55" t="str">
        <f t="array" ref="L45">IF(ISNA(INDEX($O$2:$DA$2,1,MATCH(1,IF($O45:$DM45,1),0))),"",INDEX($O$2:$DA$2,1,MATCH(1,IF($O45:$DM45,1),0)))</f>
        <v/>
      </c>
      <c r="M45" s="55" t="str">
        <f>IF(ISNA(MATCH("X",O45:W45,0)),"",INDEX($O$2:$X$2,1,MATCH("X",O45:W45,0)-1))</f>
        <v/>
      </c>
      <c r="N45" s="56">
        <f t="shared" si="13"/>
        <v>0</v>
      </c>
      <c r="O45" s="51"/>
      <c r="P45" s="51" t="str">
        <f t="shared" si="19"/>
        <v xml:space="preserve"> </v>
      </c>
      <c r="Q45" s="51" t="str">
        <f t="shared" si="20"/>
        <v xml:space="preserve"> </v>
      </c>
      <c r="R45" s="51" t="str">
        <f t="shared" si="21"/>
        <v xml:space="preserve"> </v>
      </c>
      <c r="S45" s="51" t="str">
        <f>IF(ISNUMBER(R45)," ",IF(R45="X","X"," "))</f>
        <v xml:space="preserve"> </v>
      </c>
      <c r="T45" s="51" t="str">
        <f t="shared" si="16"/>
        <v xml:space="preserve"> </v>
      </c>
      <c r="U45" s="51" t="str">
        <f t="shared" si="17"/>
        <v xml:space="preserve"> </v>
      </c>
      <c r="V45" s="51" t="str">
        <f t="shared" si="18"/>
        <v xml:space="preserve"> </v>
      </c>
      <c r="W45" s="51" t="str">
        <f t="shared" si="22"/>
        <v xml:space="preserve"> </v>
      </c>
      <c r="X45" s="5"/>
      <c r="Y45" s="18"/>
      <c r="Z45" s="18"/>
      <c r="AA45" s="18"/>
      <c r="AB45" s="18"/>
      <c r="AC45" s="18"/>
      <c r="AD45" s="18"/>
      <c r="AE45" s="18"/>
      <c r="AF45" s="18"/>
      <c r="AG45" s="18"/>
      <c r="AH45" s="18"/>
    </row>
    <row r="46" spans="1:34" ht="12.75" customHeight="1" x14ac:dyDescent="0.2">
      <c r="A46" s="18"/>
      <c r="B46" s="4"/>
      <c r="C46" s="68"/>
      <c r="D46" s="68"/>
      <c r="E46" s="68"/>
      <c r="F46" s="17"/>
      <c r="G46" s="45"/>
      <c r="H46" s="45"/>
      <c r="I46" s="43"/>
      <c r="J46" s="43"/>
      <c r="K46" s="3"/>
      <c r="L46" s="55" t="str">
        <f t="array" ref="L46">IF(ISNA(INDEX($O$2:$DA$2,1,MATCH(1,IF($O46:$DM46,1),0))),"",INDEX($O$2:$DA$2,1,MATCH(1,IF($O46:$DM46,1),0)))</f>
        <v/>
      </c>
      <c r="M46" s="55" t="str">
        <f>IF(ISNA(MATCH("X",O46:W46,0)),"",INDEX($O$2:$X$2,1,MATCH("X",O46:W46,0)-1))</f>
        <v/>
      </c>
      <c r="N46" s="56">
        <f t="shared" si="13"/>
        <v>0</v>
      </c>
      <c r="O46" s="51"/>
      <c r="P46" s="51" t="str">
        <f t="shared" si="19"/>
        <v xml:space="preserve"> </v>
      </c>
      <c r="Q46" s="51" t="str">
        <f t="shared" si="20"/>
        <v xml:space="preserve"> </v>
      </c>
      <c r="R46" s="51" t="str">
        <f t="shared" si="21"/>
        <v xml:space="preserve"> </v>
      </c>
      <c r="S46" s="51" t="str">
        <f>IF(ISNUMBER(R46)," ",IF(R46="X","X"," "))</f>
        <v xml:space="preserve"> </v>
      </c>
      <c r="T46" s="51" t="str">
        <f t="shared" si="16"/>
        <v xml:space="preserve"> </v>
      </c>
      <c r="U46" s="51" t="str">
        <f t="shared" si="17"/>
        <v xml:space="preserve"> </v>
      </c>
      <c r="V46" s="51" t="str">
        <f t="shared" si="18"/>
        <v xml:space="preserve"> </v>
      </c>
      <c r="W46" s="51" t="str">
        <f t="shared" si="22"/>
        <v xml:space="preserve"> </v>
      </c>
      <c r="X46" s="5"/>
      <c r="Y46" s="18"/>
      <c r="Z46" s="18"/>
      <c r="AA46" s="18"/>
      <c r="AB46" s="18"/>
      <c r="AC46" s="18"/>
      <c r="AD46" s="18"/>
      <c r="AE46" s="18"/>
      <c r="AF46" s="18"/>
      <c r="AG46" s="18"/>
      <c r="AH46" s="18"/>
    </row>
    <row r="47" spans="1:34" s="22" customFormat="1" x14ac:dyDescent="0.2">
      <c r="A47" s="18"/>
      <c r="B47" s="4"/>
      <c r="C47" s="68"/>
      <c r="D47" s="4"/>
      <c r="E47" s="4"/>
      <c r="F47" s="17"/>
      <c r="G47" s="45"/>
      <c r="H47" s="45"/>
      <c r="I47" s="43"/>
      <c r="J47" s="43"/>
      <c r="K47" s="3"/>
      <c r="L47" s="55" t="str">
        <f t="array" ref="L47">IF(ISNA(INDEX($O$2:$DA$2,1,MATCH(1,IF($O47:$DM47,1),0))),"",INDEX($O$2:$DA$2,1,MATCH(1,IF($O47:$DM47,1),0)))</f>
        <v/>
      </c>
      <c r="M47" s="55" t="str">
        <f>IF(ISNA(MATCH("X",O47:W47,0)),"",INDEX($O$2:$X$2,1,MATCH("X",O47:W47,0)-1))</f>
        <v/>
      </c>
      <c r="N47" s="56">
        <f t="shared" si="13"/>
        <v>0</v>
      </c>
      <c r="O47" s="51"/>
      <c r="P47" s="51" t="str">
        <f t="shared" si="19"/>
        <v xml:space="preserve"> </v>
      </c>
      <c r="Q47" s="51" t="str">
        <f t="shared" si="20"/>
        <v xml:space="preserve"> </v>
      </c>
      <c r="R47" s="51" t="str">
        <f t="shared" si="21"/>
        <v xml:space="preserve"> </v>
      </c>
      <c r="S47" s="51" t="str">
        <f>IF(ISNUMBER(R47)," ",IF(R47="X","X"," "))</f>
        <v xml:space="preserve"> </v>
      </c>
      <c r="T47" s="51" t="str">
        <f t="shared" si="16"/>
        <v xml:space="preserve"> </v>
      </c>
      <c r="U47" s="51" t="str">
        <f t="shared" si="17"/>
        <v xml:space="preserve"> </v>
      </c>
      <c r="V47" s="51" t="str">
        <f t="shared" si="18"/>
        <v xml:space="preserve"> </v>
      </c>
      <c r="W47" s="51" t="str">
        <f t="shared" si="22"/>
        <v xml:space="preserve"> </v>
      </c>
      <c r="X47" s="5"/>
      <c r="Y47" s="18"/>
      <c r="Z47" s="18"/>
      <c r="AA47" s="18"/>
      <c r="AB47" s="18"/>
      <c r="AC47" s="18"/>
      <c r="AD47" s="18"/>
      <c r="AE47" s="18"/>
      <c r="AF47" s="18"/>
      <c r="AG47" s="18"/>
      <c r="AH47" s="18"/>
    </row>
    <row r="48" spans="1:34" ht="12.75" customHeight="1" x14ac:dyDescent="0.2">
      <c r="A48" s="18"/>
      <c r="B48" s="4"/>
      <c r="C48" s="68"/>
      <c r="D48" s="68"/>
      <c r="E48" s="68"/>
      <c r="F48" s="17"/>
      <c r="G48" s="45"/>
      <c r="H48" s="45"/>
      <c r="I48" s="43"/>
      <c r="J48" s="43"/>
      <c r="K48" s="3"/>
      <c r="L48" s="55" t="str">
        <f t="array" ref="L48">IF(ISNA(INDEX($O$2:$DA$2,1,MATCH(1,IF($O48:$DM48,1),0))),"",INDEX($O$2:$DA$2,1,MATCH(1,IF($O48:$DM48,1),0)))</f>
        <v/>
      </c>
      <c r="M48" s="55" t="str">
        <f>IF(ISNA(MATCH("X",O48:W48,0)),"",INDEX($O$2:$X$2,1,MATCH("X",O48:W48,0)-1))</f>
        <v/>
      </c>
      <c r="N48" s="56">
        <f t="shared" si="13"/>
        <v>0</v>
      </c>
      <c r="O48" s="51"/>
      <c r="P48" s="51" t="str">
        <f t="shared" si="19"/>
        <v xml:space="preserve"> </v>
      </c>
      <c r="Q48" s="51" t="str">
        <f t="shared" si="20"/>
        <v xml:space="preserve"> </v>
      </c>
      <c r="R48" s="51" t="str">
        <f t="shared" si="21"/>
        <v xml:space="preserve"> </v>
      </c>
      <c r="S48" s="51" t="str">
        <f>IF(ISNUMBER(R48)," ",IF(R48="X","X"," "))</f>
        <v xml:space="preserve"> </v>
      </c>
      <c r="T48" s="51" t="str">
        <f t="shared" si="16"/>
        <v xml:space="preserve"> </v>
      </c>
      <c r="U48" s="51" t="str">
        <f t="shared" si="17"/>
        <v xml:space="preserve"> </v>
      </c>
      <c r="V48" s="51" t="str">
        <f t="shared" si="18"/>
        <v xml:space="preserve"> </v>
      </c>
      <c r="W48" s="51" t="str">
        <f t="shared" si="22"/>
        <v xml:space="preserve"> </v>
      </c>
      <c r="X48" s="5"/>
      <c r="Y48" s="18"/>
      <c r="Z48" s="18"/>
      <c r="AA48" s="18"/>
      <c r="AB48" s="18"/>
      <c r="AC48" s="18"/>
      <c r="AD48" s="18"/>
      <c r="AE48" s="18"/>
      <c r="AF48" s="18"/>
      <c r="AG48" s="18"/>
      <c r="AH48" s="18"/>
    </row>
    <row r="49" spans="1:34" x14ac:dyDescent="0.2">
      <c r="A49" s="18"/>
      <c r="B49" s="4"/>
      <c r="C49" s="68"/>
      <c r="D49" s="4"/>
      <c r="E49" s="4"/>
      <c r="F49" s="17"/>
      <c r="G49" s="45"/>
      <c r="H49" s="45"/>
      <c r="I49" s="43"/>
      <c r="J49" s="43"/>
      <c r="K49" s="3"/>
      <c r="L49" s="55" t="str">
        <f t="array" ref="L49">IF(ISNA(INDEX($O$2:$DA$2,1,MATCH(1,IF($O49:$DM49,1),0))),"",INDEX($O$2:$DA$2,1,MATCH(1,IF($O49:$DM49,1),0)))</f>
        <v/>
      </c>
      <c r="M49" s="55" t="str">
        <f>IF(ISNA(MATCH("X",O49:W49,0)),"",INDEX($O$2:$X$2,1,MATCH("X",O49:W49,0)-1))</f>
        <v/>
      </c>
      <c r="N49" s="56">
        <f t="shared" si="13"/>
        <v>0</v>
      </c>
      <c r="O49" s="51"/>
      <c r="P49" s="51" t="str">
        <f t="shared" si="19"/>
        <v xml:space="preserve"> </v>
      </c>
      <c r="Q49" s="51" t="str">
        <f t="shared" si="20"/>
        <v xml:space="preserve"> </v>
      </c>
      <c r="R49" s="51" t="str">
        <f t="shared" si="21"/>
        <v xml:space="preserve"> </v>
      </c>
      <c r="S49" s="51" t="str">
        <f>IF(ISNUMBER(R49)," ",IF(R49="X","X"," "))</f>
        <v xml:space="preserve"> </v>
      </c>
      <c r="T49" s="51" t="str">
        <f t="shared" si="16"/>
        <v xml:space="preserve"> </v>
      </c>
      <c r="U49" s="51" t="str">
        <f t="shared" si="17"/>
        <v xml:space="preserve"> </v>
      </c>
      <c r="V49" s="51" t="str">
        <f t="shared" si="18"/>
        <v xml:space="preserve"> </v>
      </c>
      <c r="W49" s="51" t="str">
        <f t="shared" si="22"/>
        <v xml:space="preserve"> </v>
      </c>
      <c r="X49" s="5"/>
      <c r="Y49" s="18"/>
      <c r="Z49" s="18"/>
      <c r="AA49" s="18"/>
      <c r="AB49" s="18"/>
      <c r="AC49" s="18"/>
      <c r="AD49" s="18"/>
      <c r="AE49" s="18"/>
      <c r="AF49" s="18"/>
      <c r="AG49" s="18"/>
      <c r="AH49" s="18"/>
    </row>
    <row r="50" spans="1:34" x14ac:dyDescent="0.2">
      <c r="A50" s="18"/>
      <c r="B50" s="18"/>
      <c r="C50" s="18"/>
      <c r="D50" s="18"/>
      <c r="E50" s="18"/>
      <c r="F50" s="18"/>
      <c r="G50" s="18"/>
      <c r="H50" s="18"/>
      <c r="I50" s="63" t="s">
        <v>59</v>
      </c>
      <c r="J50" s="48">
        <f>MATCH(MAX($O$2:$W$2),$O$2:$W$2,0)-1</f>
        <v>8</v>
      </c>
      <c r="K50" s="18"/>
      <c r="L50" s="18"/>
      <c r="M50" s="18"/>
      <c r="N50" s="38" t="s">
        <v>61</v>
      </c>
      <c r="O50" s="56">
        <f t="shared" ref="O50:R50" si="23">SUM(O3:O39)</f>
        <v>32.75</v>
      </c>
      <c r="P50" s="56">
        <f t="shared" si="23"/>
        <v>0.25</v>
      </c>
      <c r="Q50" s="56">
        <f t="shared" si="23"/>
        <v>0</v>
      </c>
      <c r="R50" s="56">
        <f t="shared" si="23"/>
        <v>0</v>
      </c>
      <c r="S50" s="56">
        <f>SUM(S3:S39)</f>
        <v>0</v>
      </c>
      <c r="T50" s="56">
        <f>SUM(T3:T39)</f>
        <v>0</v>
      </c>
      <c r="U50" s="56">
        <f>SUM(U3:U39)</f>
        <v>0</v>
      </c>
      <c r="V50" s="56">
        <f>SUM(V3:V39)</f>
        <v>0</v>
      </c>
      <c r="W50" s="56">
        <f>SUM(W3:W39)</f>
        <v>0</v>
      </c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H50" s="18"/>
    </row>
    <row r="51" spans="1:34" x14ac:dyDescent="0.2">
      <c r="A51" s="18"/>
      <c r="B51" s="18"/>
      <c r="C51" s="18"/>
      <c r="D51" s="18"/>
      <c r="E51" s="18"/>
      <c r="F51" s="18"/>
      <c r="G51" s="18"/>
      <c r="H51" s="18"/>
      <c r="I51" s="101" t="s">
        <v>60</v>
      </c>
      <c r="J51" s="102"/>
      <c r="K51" s="48">
        <f>K53/J50</f>
        <v>33.09375</v>
      </c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  <c r="AH51" s="18"/>
    </row>
    <row r="52" spans="1:34" ht="47.25" x14ac:dyDescent="0.2">
      <c r="A52" s="18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27">
        <f>IF(OR(ISBLANK(O2),O2=$X$2),"",O2)</f>
        <v>41372</v>
      </c>
      <c r="O52" s="27">
        <f>IF(OR(ISBLANK(P2),P2=$X$2),"",P2)</f>
        <v>41379</v>
      </c>
      <c r="P52" s="27">
        <f>IF(OR(ISBLANK(Q2),Q2=$X$2),"",Q2)</f>
        <v>41386</v>
      </c>
      <c r="Q52" s="27">
        <f>IF(OR(ISBLANK(R2),R2=$X$2),"",R2)</f>
        <v>41393</v>
      </c>
      <c r="R52" s="27">
        <f>IF(OR(ISBLANK(S2),S2=$X$2),"",S2)</f>
        <v>41400</v>
      </c>
      <c r="S52" s="27">
        <f>IF(OR(ISBLANK(T2),T2=$X$2),"",T2)</f>
        <v>41407</v>
      </c>
      <c r="T52" s="27">
        <f>IF(OR(ISBLANK(U2),U2=$X$2),"",U2)</f>
        <v>41414</v>
      </c>
      <c r="U52" s="27">
        <f>IF(OR(ISBLANK(V2),V2=$X$2),"",V2)</f>
        <v>41421</v>
      </c>
      <c r="V52" s="27">
        <f>IF(OR(ISBLANK(W2),W2=$X$2),"",W2)</f>
        <v>41428</v>
      </c>
      <c r="W52" s="27" t="str">
        <f>IF(OR(ISBLANK(X2),X2=$X$2),"",X2)</f>
        <v/>
      </c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H52" s="18"/>
    </row>
    <row r="53" spans="1:34" x14ac:dyDescent="0.2">
      <c r="A53" s="18"/>
      <c r="B53" s="29"/>
      <c r="C53" s="98" t="s">
        <v>0</v>
      </c>
      <c r="D53" s="99"/>
      <c r="E53" s="99"/>
      <c r="F53" s="99"/>
      <c r="G53" s="99"/>
      <c r="H53" s="99"/>
      <c r="I53" s="100"/>
      <c r="J53" s="30">
        <f>MAX(H3:H38)-MIN(G3:G38)</f>
        <v>56</v>
      </c>
      <c r="K53" s="30">
        <f>SUM(K3:K39)</f>
        <v>264.75</v>
      </c>
      <c r="L53" s="31"/>
      <c r="M53" s="32"/>
      <c r="N53" s="67">
        <v>296</v>
      </c>
      <c r="O53" s="50">
        <f t="shared" ref="O53:R53" si="24">IF(O52="","",N53)</f>
        <v>296</v>
      </c>
      <c r="P53" s="50">
        <f t="shared" si="24"/>
        <v>296</v>
      </c>
      <c r="Q53" s="50">
        <f t="shared" si="24"/>
        <v>296</v>
      </c>
      <c r="R53" s="50">
        <f t="shared" si="24"/>
        <v>296</v>
      </c>
      <c r="S53" s="50">
        <f>IF(S52="","",R53)</f>
        <v>296</v>
      </c>
      <c r="T53" s="50">
        <f>IF(T52="","",S53)</f>
        <v>296</v>
      </c>
      <c r="U53" s="50">
        <f>IF(U52="","",T53)</f>
        <v>296</v>
      </c>
      <c r="V53" s="50"/>
      <c r="W53" s="50"/>
      <c r="X53" s="29"/>
      <c r="Y53" s="18"/>
      <c r="Z53" s="18"/>
      <c r="AA53" s="18"/>
      <c r="AB53" s="18"/>
      <c r="AC53" s="18"/>
      <c r="AD53" s="18"/>
      <c r="AE53" s="18"/>
      <c r="AF53" s="18"/>
      <c r="AG53" s="18"/>
      <c r="AH53" s="18"/>
    </row>
    <row r="54" spans="1:34" ht="25.5" x14ac:dyDescent="0.2">
      <c r="A54" s="18"/>
      <c r="B54" s="29"/>
      <c r="C54" s="58" t="s">
        <v>31</v>
      </c>
      <c r="D54" s="59"/>
      <c r="E54" s="59"/>
      <c r="F54" s="59"/>
      <c r="G54" s="59"/>
      <c r="H54" s="59"/>
      <c r="I54" s="59"/>
      <c r="J54" s="59"/>
      <c r="K54" s="59"/>
      <c r="L54" s="59"/>
      <c r="M54" s="59"/>
      <c r="N54" s="34">
        <f>IF(N52="","",M54+IF(ISNA(VLOOKUP(O2,$H$2:$H$39,2,FALSE)),0,SUM(IF($H$2:$K$39=O2,$K$2:$K$39))))</f>
        <v>0</v>
      </c>
      <c r="O54" s="34">
        <f t="array" ref="O54">IF(O52="","",N54+IF(ISNA(VLOOKUP(P2,$H$2:$H$39,2,FALSE)),0,SUM(IF($H$2:$K$39=P2,$K$2:$K$39))))</f>
        <v>31</v>
      </c>
      <c r="P54" s="34">
        <f t="array" ref="P54">IF(P52="","",O54+IF(ISNA(VLOOKUP(Q2,$H$2:$H$39,2,FALSE)),0,SUM(IF($H$2:$K$39=Q2,$K$2:$K$39))))</f>
        <v>36</v>
      </c>
      <c r="Q54" s="34">
        <f t="array" ref="Q54">IF(Q52="","",P54+IF(ISNA(VLOOKUP(R2,$H$2:$H$39,2,FALSE)),0,SUM(IF($H$2:$K$39=R2,$K$2:$K$39))))</f>
        <v>85.75</v>
      </c>
      <c r="R54" s="34">
        <f t="array" ref="R54">IF(R52="","",Q54+IF(ISNA(VLOOKUP(S2,$H$2:$H$39,2,FALSE)),0,SUM(IF($H$2:$K$39=S2,$K$2:$K$39))))</f>
        <v>85.75</v>
      </c>
      <c r="S54" s="34">
        <f t="array" ref="S54">IF(S52="","",R54+IF(ISNA(VLOOKUP(T2,$H$2:$H$39,2,FALSE)),0,SUM(IF($H$2:$K$39=T2,$K$2:$K$39))))</f>
        <v>145.75</v>
      </c>
      <c r="T54" s="34">
        <f t="array" ref="T54">IF(T52="","",S54+IF(ISNA(VLOOKUP(U2,$H$2:$H$39,2,FALSE)),0,SUM(IF($H$2:$K$39=U2,$K$2:$K$39))))</f>
        <v>193.75</v>
      </c>
      <c r="U54" s="34">
        <f t="array" ref="U54">IF(U52="","",T54+IF(ISNA(VLOOKUP(V2,$H$2:$H$39,2,FALSE)),0,SUM(IF($H$2:$K$39=V2,$K$2:$K$39))))</f>
        <v>230.75</v>
      </c>
      <c r="V54" s="34"/>
      <c r="W54" s="34"/>
      <c r="X54" s="29"/>
      <c r="Y54" s="18"/>
      <c r="Z54" s="18"/>
      <c r="AA54" s="18"/>
      <c r="AB54" s="18"/>
      <c r="AC54" s="18"/>
      <c r="AD54" s="18"/>
      <c r="AE54" s="18"/>
      <c r="AF54" s="18"/>
      <c r="AG54" s="18"/>
      <c r="AH54" s="18"/>
    </row>
    <row r="55" spans="1:34" ht="25.5" x14ac:dyDescent="0.2">
      <c r="A55" s="18"/>
      <c r="B55" s="18"/>
      <c r="C55" s="60" t="s">
        <v>15</v>
      </c>
      <c r="D55" s="61"/>
      <c r="E55" s="61"/>
      <c r="F55" s="61"/>
      <c r="G55" s="61"/>
      <c r="H55" s="61"/>
      <c r="I55" s="61"/>
      <c r="J55" s="61"/>
      <c r="K55" s="61"/>
      <c r="L55" s="61"/>
      <c r="M55" s="61"/>
      <c r="N55" s="64">
        <v>0</v>
      </c>
      <c r="O55" s="6">
        <f>SUMIFS($K$3:$K$39,P3:P39,"=X")</f>
        <v>31</v>
      </c>
      <c r="P55" s="6">
        <f>SUMIFS($K$3:$K$39,Q3:Q39,"=X")</f>
        <v>36</v>
      </c>
      <c r="Q55" s="6">
        <f>SUMIFS($K$3:$K$39,R3:R39,"=X")</f>
        <v>36</v>
      </c>
      <c r="R55" s="6">
        <f>SUMIFS($K$3:$K$39,S3:S39,"=X")</f>
        <v>36</v>
      </c>
      <c r="S55" s="6"/>
      <c r="T55" s="6"/>
      <c r="U55" s="6"/>
      <c r="V55" s="6"/>
      <c r="W55" s="6"/>
      <c r="X55" s="18"/>
      <c r="Y55" s="18"/>
      <c r="Z55" s="18"/>
      <c r="AA55" s="18"/>
      <c r="AB55" s="18"/>
      <c r="AC55" s="18"/>
      <c r="AD55" s="18"/>
      <c r="AE55" s="18"/>
      <c r="AF55" s="18"/>
      <c r="AG55" s="18"/>
      <c r="AH55" s="18"/>
    </row>
    <row r="56" spans="1:34" ht="25.5" x14ac:dyDescent="0.2">
      <c r="A56" s="18"/>
      <c r="B56" s="18"/>
      <c r="C56" s="62" t="s">
        <v>32</v>
      </c>
      <c r="D56" s="21"/>
      <c r="E56" s="21"/>
      <c r="F56" s="21"/>
      <c r="G56" s="21"/>
      <c r="H56" s="21"/>
      <c r="I56" s="21"/>
      <c r="J56" s="21"/>
      <c r="K56" s="21"/>
      <c r="L56" s="21"/>
      <c r="M56" s="21"/>
      <c r="N56" s="65">
        <v>0</v>
      </c>
      <c r="O56" s="6">
        <f>SUM(O3:O39)+N56</f>
        <v>32.75</v>
      </c>
      <c r="P56" s="6">
        <f>SUM(P3:P39)+O56</f>
        <v>33</v>
      </c>
      <c r="Q56" s="6">
        <f>SUM(Q3:Q39)+P56</f>
        <v>33</v>
      </c>
      <c r="R56" s="6">
        <f>SUM(R3:R39)+Q56</f>
        <v>33</v>
      </c>
      <c r="S56" s="6"/>
      <c r="T56" s="6"/>
      <c r="U56" s="6"/>
      <c r="V56" s="6"/>
      <c r="W56" s="6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18"/>
    </row>
    <row r="57" spans="1:34" x14ac:dyDescent="0.2">
      <c r="A57" s="18"/>
      <c r="B57" s="18"/>
      <c r="C57" s="19"/>
      <c r="D57" s="19"/>
      <c r="E57" s="19"/>
      <c r="F57" s="19"/>
      <c r="G57" s="19"/>
      <c r="H57" s="19"/>
      <c r="I57" s="19"/>
      <c r="J57" s="19"/>
      <c r="K57" s="19"/>
      <c r="L57" s="35"/>
      <c r="M57" s="35"/>
      <c r="N57" s="35"/>
      <c r="O57" s="36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18"/>
    </row>
    <row r="58" spans="1:34" ht="12.75" customHeight="1" x14ac:dyDescent="0.2">
      <c r="A58" s="18"/>
      <c r="B58" s="18"/>
      <c r="C58" s="19"/>
      <c r="D58" s="19"/>
      <c r="E58" s="19"/>
      <c r="F58" s="19"/>
      <c r="G58" s="19"/>
      <c r="H58" s="19"/>
      <c r="I58" s="19"/>
      <c r="J58" s="19"/>
      <c r="K58" s="19"/>
      <c r="L58" s="35"/>
      <c r="M58" s="90" t="s">
        <v>19</v>
      </c>
      <c r="N58" s="91"/>
      <c r="O58" s="20" t="s">
        <v>18</v>
      </c>
      <c r="P58" s="21"/>
      <c r="Q58" s="21"/>
      <c r="R58" s="21"/>
      <c r="S58" s="21"/>
      <c r="T58" s="21"/>
      <c r="U58" s="21"/>
      <c r="V58" s="21"/>
      <c r="W58" s="21"/>
      <c r="X58" s="18"/>
      <c r="Y58" s="18"/>
      <c r="Z58" s="18"/>
      <c r="AA58" s="18"/>
      <c r="AB58" s="18"/>
      <c r="AC58" s="18"/>
      <c r="AD58" s="18"/>
      <c r="AE58" s="18"/>
      <c r="AF58" s="18"/>
      <c r="AG58" s="18"/>
      <c r="AH58" s="18"/>
    </row>
    <row r="59" spans="1:34" ht="47.25" x14ac:dyDescent="0.2">
      <c r="A59" s="18"/>
      <c r="B59" s="18"/>
      <c r="C59" s="19"/>
      <c r="D59" s="19"/>
      <c r="E59" s="19"/>
      <c r="F59" s="19"/>
      <c r="G59" s="19"/>
      <c r="H59" s="19"/>
      <c r="I59" s="19"/>
      <c r="J59" s="19"/>
      <c r="K59" s="19"/>
      <c r="L59" s="35"/>
      <c r="M59" s="23" t="s">
        <v>5</v>
      </c>
      <c r="N59" s="23" t="s">
        <v>7</v>
      </c>
      <c r="O59" s="27">
        <f t="shared" ref="O59:R59" si="25">O2</f>
        <v>41372</v>
      </c>
      <c r="P59" s="39">
        <f t="shared" si="25"/>
        <v>41379</v>
      </c>
      <c r="Q59" s="39">
        <f t="shared" si="25"/>
        <v>41386</v>
      </c>
      <c r="R59" s="39">
        <f t="shared" si="25"/>
        <v>41393</v>
      </c>
      <c r="S59" s="39">
        <f>S2</f>
        <v>41400</v>
      </c>
      <c r="T59" s="39">
        <f>T2</f>
        <v>41407</v>
      </c>
      <c r="U59" s="39">
        <f>U2</f>
        <v>41414</v>
      </c>
      <c r="V59" s="39">
        <f>V2</f>
        <v>41421</v>
      </c>
      <c r="W59" s="39"/>
      <c r="X59" s="23" t="s">
        <v>13</v>
      </c>
      <c r="Y59" s="18"/>
      <c r="Z59" s="18"/>
      <c r="AA59" s="18"/>
      <c r="AB59" s="18"/>
      <c r="AC59" s="18"/>
      <c r="AD59" s="18"/>
      <c r="AE59" s="18"/>
      <c r="AF59" s="18"/>
      <c r="AG59" s="18"/>
      <c r="AH59" s="18"/>
    </row>
    <row r="60" spans="1:34" x14ac:dyDescent="0.2">
      <c r="A60" s="18"/>
      <c r="B60" s="18"/>
      <c r="C60" s="19"/>
      <c r="D60" s="19"/>
      <c r="E60" s="19"/>
      <c r="F60" s="19"/>
      <c r="G60" s="19"/>
      <c r="H60" s="19"/>
      <c r="I60" s="19"/>
      <c r="J60" s="19"/>
      <c r="K60" s="19"/>
      <c r="L60" s="35"/>
      <c r="M60" s="49" t="s">
        <v>104</v>
      </c>
      <c r="N60" s="37">
        <f>SUM(O50:CG50)</f>
        <v>33</v>
      </c>
      <c r="O60" s="37">
        <f t="shared" ref="O60:R61" si="26">SUMIF($F$3:$F$39,$M60,O$3:O$39)</f>
        <v>0</v>
      </c>
      <c r="P60" s="37">
        <f t="shared" si="26"/>
        <v>0</v>
      </c>
      <c r="Q60" s="37">
        <f t="shared" si="26"/>
        <v>0</v>
      </c>
      <c r="R60" s="37">
        <f t="shared" si="26"/>
        <v>0</v>
      </c>
      <c r="S60" s="37">
        <f>SUMIF($F$3:$F$39,$M60,S$3:S$39)</f>
        <v>0</v>
      </c>
      <c r="T60" s="37">
        <f>SUMIF($F$3:$F$39,$M60,T$3:T$39)</f>
        <v>0</v>
      </c>
      <c r="U60" s="37">
        <f>SUMIF($F$3:$F$39,$M60,U$3:U$39)</f>
        <v>0</v>
      </c>
      <c r="V60" s="37">
        <f>SUMIF($F$3:$F$39,$M60,V$3:V$39)</f>
        <v>0</v>
      </c>
      <c r="W60" s="37">
        <f>SUMIF($F$3:$F$39,$M60,W$3:W$39)</f>
        <v>0</v>
      </c>
      <c r="X60" s="5"/>
      <c r="Y60" s="18"/>
      <c r="Z60" s="18"/>
      <c r="AA60" s="18"/>
      <c r="AB60" s="18"/>
      <c r="AC60" s="18"/>
      <c r="AD60" s="18"/>
      <c r="AE60" s="18"/>
      <c r="AF60" s="18"/>
      <c r="AG60" s="18"/>
      <c r="AH60" s="18"/>
    </row>
    <row r="61" spans="1:34" x14ac:dyDescent="0.2">
      <c r="A61" s="18"/>
      <c r="B61" s="18"/>
      <c r="C61" s="19"/>
      <c r="D61" s="19"/>
      <c r="E61" s="19"/>
      <c r="F61" s="19"/>
      <c r="G61" s="19"/>
      <c r="H61" s="19"/>
      <c r="I61" s="19"/>
      <c r="J61" s="19"/>
      <c r="K61" s="19"/>
      <c r="L61" s="35"/>
      <c r="M61" s="49" t="s">
        <v>105</v>
      </c>
      <c r="N61" s="37">
        <f>SUM(O51:CG51)</f>
        <v>0</v>
      </c>
      <c r="O61" s="37">
        <f t="shared" si="26"/>
        <v>0</v>
      </c>
      <c r="P61" s="37">
        <f t="shared" si="26"/>
        <v>0</v>
      </c>
      <c r="Q61" s="37">
        <f t="shared" si="26"/>
        <v>0</v>
      </c>
      <c r="R61" s="37">
        <f t="shared" si="26"/>
        <v>0</v>
      </c>
      <c r="S61" s="37">
        <f>SUMIF($F$3:$F$39,$M61,S$3:S$39)</f>
        <v>0</v>
      </c>
      <c r="T61" s="37">
        <f>SUMIF($F$3:$F$39,$M61,T$3:T$39)</f>
        <v>0</v>
      </c>
      <c r="U61" s="37">
        <f>SUMIF($F$3:$F$39,$M61,U$3:U$39)</f>
        <v>0</v>
      </c>
      <c r="V61" s="37">
        <f>SUMIF($F$3:$F$39,$M61,V$3:V$39)</f>
        <v>0</v>
      </c>
      <c r="W61" s="37">
        <f>SUMIF($F$3:$F$39,$M61,W$3:W$39)</f>
        <v>0</v>
      </c>
      <c r="X61" s="5"/>
      <c r="Y61" s="18"/>
      <c r="Z61" s="18"/>
      <c r="AA61" s="18"/>
      <c r="AB61" s="18"/>
      <c r="AC61" s="18"/>
      <c r="AD61" s="18"/>
      <c r="AE61" s="18"/>
      <c r="AF61" s="18"/>
      <c r="AG61" s="18"/>
      <c r="AH61" s="18"/>
    </row>
    <row r="62" spans="1:34" x14ac:dyDescent="0.2">
      <c r="A62" s="18"/>
      <c r="B62" s="18"/>
      <c r="C62" s="19"/>
      <c r="D62" s="19"/>
      <c r="E62" s="19"/>
      <c r="F62" s="19"/>
      <c r="G62" s="19"/>
      <c r="H62" s="19"/>
      <c r="I62" s="19"/>
      <c r="J62" s="19"/>
      <c r="K62" s="19"/>
      <c r="L62" s="35"/>
      <c r="M62" s="49" t="s">
        <v>106</v>
      </c>
      <c r="N62" s="37">
        <v>0</v>
      </c>
      <c r="O62" s="37">
        <v>0</v>
      </c>
      <c r="P62" s="37">
        <v>0</v>
      </c>
      <c r="Q62" s="37">
        <v>0</v>
      </c>
      <c r="R62" s="37">
        <v>0</v>
      </c>
      <c r="S62" s="37">
        <v>0</v>
      </c>
      <c r="T62" s="37">
        <v>0</v>
      </c>
      <c r="U62" s="37">
        <v>0</v>
      </c>
      <c r="V62" s="37">
        <v>0</v>
      </c>
      <c r="W62" s="37">
        <v>0</v>
      </c>
      <c r="X62" s="5"/>
      <c r="Y62" s="18"/>
      <c r="Z62" s="18"/>
      <c r="AA62" s="18"/>
      <c r="AB62" s="18"/>
      <c r="AC62" s="18"/>
      <c r="AD62" s="18"/>
      <c r="AE62" s="18"/>
      <c r="AF62" s="18"/>
      <c r="AG62" s="18"/>
      <c r="AH62" s="18"/>
    </row>
    <row r="63" spans="1:34" x14ac:dyDescent="0.2">
      <c r="A63" s="18"/>
      <c r="B63" s="18"/>
      <c r="C63" s="19"/>
      <c r="D63" s="19"/>
      <c r="E63" s="19"/>
      <c r="F63" s="19"/>
      <c r="G63" s="19"/>
      <c r="H63" s="19"/>
      <c r="I63" s="19"/>
      <c r="J63" s="19"/>
      <c r="K63" s="19"/>
      <c r="L63" s="35"/>
      <c r="M63" s="49" t="s">
        <v>108</v>
      </c>
      <c r="N63" s="37">
        <v>0</v>
      </c>
      <c r="O63" s="37">
        <v>0</v>
      </c>
      <c r="P63" s="37">
        <v>0</v>
      </c>
      <c r="Q63" s="37">
        <v>0</v>
      </c>
      <c r="R63" s="37">
        <v>0</v>
      </c>
      <c r="S63" s="37">
        <v>0</v>
      </c>
      <c r="T63" s="37">
        <v>0</v>
      </c>
      <c r="U63" s="37">
        <v>0</v>
      </c>
      <c r="V63" s="37">
        <v>0</v>
      </c>
      <c r="W63" s="37">
        <v>0</v>
      </c>
      <c r="X63" s="5"/>
      <c r="Y63" s="18"/>
      <c r="Z63" s="18"/>
      <c r="AA63" s="18"/>
      <c r="AB63" s="18"/>
      <c r="AC63" s="18"/>
      <c r="AD63" s="18"/>
      <c r="AE63" s="18"/>
      <c r="AF63" s="18"/>
      <c r="AG63" s="18"/>
      <c r="AH63" s="18"/>
    </row>
    <row r="64" spans="1:34" x14ac:dyDescent="0.2">
      <c r="A64" s="18"/>
      <c r="B64" s="18"/>
      <c r="C64" s="19"/>
      <c r="D64" s="19"/>
      <c r="E64" s="19"/>
      <c r="F64" s="19"/>
      <c r="G64" s="19"/>
      <c r="H64" s="19"/>
      <c r="I64" s="19"/>
      <c r="J64" s="19"/>
      <c r="K64" s="19"/>
      <c r="L64" s="35"/>
      <c r="M64" s="49" t="s">
        <v>112</v>
      </c>
      <c r="N64" s="37">
        <v>0</v>
      </c>
      <c r="O64" s="37">
        <v>0</v>
      </c>
      <c r="P64" s="37">
        <v>0</v>
      </c>
      <c r="Q64" s="37">
        <v>0</v>
      </c>
      <c r="R64" s="37">
        <v>0</v>
      </c>
      <c r="S64" s="37">
        <v>0</v>
      </c>
      <c r="T64" s="37">
        <v>0</v>
      </c>
      <c r="U64" s="37">
        <v>0</v>
      </c>
      <c r="V64" s="37">
        <v>0</v>
      </c>
      <c r="W64" s="37">
        <v>0</v>
      </c>
      <c r="X64" s="5"/>
      <c r="Y64" s="18"/>
      <c r="Z64" s="18"/>
      <c r="AA64" s="18"/>
      <c r="AB64" s="18"/>
      <c r="AC64" s="18"/>
      <c r="AD64" s="18"/>
      <c r="AE64" s="18"/>
      <c r="AF64" s="18"/>
      <c r="AG64" s="18"/>
      <c r="AH64" s="18"/>
    </row>
    <row r="65" spans="1:34" x14ac:dyDescent="0.2">
      <c r="A65" s="18"/>
      <c r="B65" s="18"/>
      <c r="C65" s="19"/>
      <c r="D65" s="19"/>
      <c r="E65" s="19"/>
      <c r="F65" s="19"/>
      <c r="G65" s="19"/>
      <c r="H65" s="19"/>
      <c r="I65" s="19"/>
      <c r="J65" s="19"/>
      <c r="K65" s="19"/>
      <c r="L65" s="35"/>
      <c r="M65" s="49" t="s">
        <v>108</v>
      </c>
      <c r="N65" s="37">
        <v>0</v>
      </c>
      <c r="O65" s="37">
        <v>0</v>
      </c>
      <c r="P65" s="37">
        <v>0</v>
      </c>
      <c r="Q65" s="37">
        <v>0</v>
      </c>
      <c r="R65" s="37">
        <v>0</v>
      </c>
      <c r="S65" s="37">
        <v>0</v>
      </c>
      <c r="T65" s="37">
        <v>0</v>
      </c>
      <c r="U65" s="37">
        <v>0</v>
      </c>
      <c r="V65" s="37">
        <v>0</v>
      </c>
      <c r="W65" s="37">
        <v>0</v>
      </c>
      <c r="X65" s="5"/>
      <c r="Y65" s="18"/>
      <c r="Z65" s="18"/>
      <c r="AA65" s="18"/>
      <c r="AB65" s="18"/>
      <c r="AC65" s="18"/>
      <c r="AD65" s="18"/>
      <c r="AE65" s="18"/>
      <c r="AF65" s="18"/>
      <c r="AG65" s="18"/>
      <c r="AH65" s="18"/>
    </row>
    <row r="66" spans="1:34" x14ac:dyDescent="0.2">
      <c r="A66" s="18"/>
      <c r="B66" s="18"/>
      <c r="C66" s="19"/>
      <c r="D66" s="19"/>
      <c r="E66" s="19"/>
      <c r="F66" s="19"/>
      <c r="G66" s="19"/>
      <c r="H66" s="19"/>
      <c r="I66" s="19"/>
      <c r="J66" s="19"/>
      <c r="K66" s="19"/>
      <c r="L66" s="35"/>
      <c r="M66" s="49" t="s">
        <v>107</v>
      </c>
      <c r="N66" s="37">
        <f>SUM(O56:CG56)</f>
        <v>131.75</v>
      </c>
      <c r="O66" s="37">
        <f t="shared" ref="O66:R67" si="27">SUMIF($F$3:$F$39,$M66,O$3:O$39)</f>
        <v>0</v>
      </c>
      <c r="P66" s="37">
        <f t="shared" si="27"/>
        <v>0</v>
      </c>
      <c r="Q66" s="37">
        <f t="shared" si="27"/>
        <v>0</v>
      </c>
      <c r="R66" s="37">
        <f t="shared" si="27"/>
        <v>0</v>
      </c>
      <c r="S66" s="37">
        <f>SUMIF($F$3:$F$39,$M66,S$3:S$39)</f>
        <v>0</v>
      </c>
      <c r="T66" s="37">
        <f>SUMIF($F$3:$F$39,$M66,T$3:T$39)</f>
        <v>0</v>
      </c>
      <c r="U66" s="37">
        <f>SUMIF($F$3:$F$39,$M66,U$3:U$39)</f>
        <v>0</v>
      </c>
      <c r="V66" s="37">
        <f>SUMIF($F$3:$F$39,$M66,V$3:V$39)</f>
        <v>0</v>
      </c>
      <c r="W66" s="37">
        <v>0</v>
      </c>
      <c r="X66" s="5"/>
      <c r="Y66" s="18"/>
      <c r="Z66" s="18"/>
      <c r="AA66" s="18"/>
      <c r="AB66" s="18"/>
      <c r="AC66" s="18"/>
      <c r="AD66" s="18"/>
      <c r="AE66" s="18"/>
      <c r="AF66" s="18"/>
      <c r="AG66" s="18"/>
      <c r="AH66" s="18"/>
    </row>
    <row r="67" spans="1:34" x14ac:dyDescent="0.2">
      <c r="A67" s="18"/>
      <c r="B67" s="18"/>
      <c r="C67" s="19"/>
      <c r="D67" s="19"/>
      <c r="E67" s="19"/>
      <c r="F67" s="19"/>
      <c r="G67" s="19"/>
      <c r="H67" s="19"/>
      <c r="I67" s="57"/>
      <c r="J67" s="19"/>
      <c r="K67" s="19"/>
      <c r="L67" s="35"/>
      <c r="M67" s="49"/>
      <c r="N67" s="37">
        <f>SUM(O57:CG57)</f>
        <v>0</v>
      </c>
      <c r="O67" s="37">
        <f t="shared" si="27"/>
        <v>0</v>
      </c>
      <c r="P67" s="37">
        <f t="shared" si="27"/>
        <v>0</v>
      </c>
      <c r="Q67" s="37">
        <f t="shared" si="27"/>
        <v>0</v>
      </c>
      <c r="R67" s="37">
        <f t="shared" si="27"/>
        <v>0</v>
      </c>
      <c r="S67" s="37">
        <f>SUMIF($F$3:$F$39,$M67,S$3:S$39)</f>
        <v>0</v>
      </c>
      <c r="T67" s="37">
        <f>SUMIF($F$3:$F$39,$M67,T$3:T$39)</f>
        <v>0</v>
      </c>
      <c r="U67" s="37">
        <f>SUMIF($F$3:$F$39,$M67,U$3:U$39)</f>
        <v>0</v>
      </c>
      <c r="V67" s="37">
        <f>SUMIF($F$3:$F$39,$M67,V$3:V$39)</f>
        <v>0</v>
      </c>
      <c r="W67" s="37">
        <f>SUMIF($F$3:$F$39,$M67,W$3:W$39)</f>
        <v>0</v>
      </c>
      <c r="X67" s="5"/>
      <c r="Y67" s="18"/>
      <c r="Z67" s="18"/>
      <c r="AA67" s="18"/>
      <c r="AB67" s="18"/>
      <c r="AC67" s="18"/>
      <c r="AD67" s="18"/>
      <c r="AE67" s="18"/>
      <c r="AF67" s="18"/>
      <c r="AG67" s="18"/>
      <c r="AH67" s="18"/>
    </row>
    <row r="68" spans="1:34" x14ac:dyDescent="0.2">
      <c r="A68" s="18"/>
      <c r="B68" s="18"/>
      <c r="C68" s="19"/>
      <c r="D68" s="19"/>
      <c r="E68" s="19"/>
      <c r="F68" s="19"/>
      <c r="G68" s="19"/>
      <c r="H68" s="19"/>
      <c r="I68" s="19"/>
      <c r="J68" s="19"/>
      <c r="K68" s="19"/>
      <c r="L68" s="35"/>
      <c r="M68" s="47" t="s">
        <v>20</v>
      </c>
      <c r="N68" s="48">
        <f>SUM(N60:N67)</f>
        <v>164.75</v>
      </c>
      <c r="O68" s="48">
        <f t="shared" ref="O68:R68" si="28">SUM(O60:O67)</f>
        <v>0</v>
      </c>
      <c r="P68" s="48">
        <f t="shared" si="28"/>
        <v>0</v>
      </c>
      <c r="Q68" s="48">
        <f t="shared" si="28"/>
        <v>0</v>
      </c>
      <c r="R68" s="48">
        <f t="shared" si="28"/>
        <v>0</v>
      </c>
      <c r="S68" s="48">
        <f>SUM(S60:S67)</f>
        <v>0</v>
      </c>
      <c r="T68" s="48">
        <f>SUM(T60:T67)</f>
        <v>0</v>
      </c>
      <c r="U68" s="48">
        <f>SUM(U60:U67)</f>
        <v>0</v>
      </c>
      <c r="V68" s="48">
        <f>SUM(V60:V67)</f>
        <v>0</v>
      </c>
      <c r="W68" s="48">
        <f>SUM(W60:W67)</f>
        <v>0</v>
      </c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</row>
    <row r="69" spans="1:34" x14ac:dyDescent="0.2">
      <c r="A69" s="18"/>
      <c r="B69" s="18"/>
      <c r="C69" s="19"/>
      <c r="D69" s="19"/>
      <c r="E69" s="19"/>
      <c r="F69" s="19"/>
      <c r="G69" s="19"/>
      <c r="H69" s="19"/>
      <c r="I69" s="19"/>
      <c r="J69" s="19"/>
      <c r="K69" s="19"/>
      <c r="L69" s="35"/>
      <c r="M69" s="35"/>
      <c r="N69" s="35"/>
      <c r="O69" s="36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  <c r="AA69" s="18"/>
      <c r="AB69" s="18"/>
      <c r="AC69" s="18"/>
      <c r="AD69" s="18"/>
      <c r="AE69" s="18"/>
      <c r="AF69" s="18"/>
      <c r="AG69" s="18"/>
      <c r="AH69" s="18"/>
    </row>
    <row r="70" spans="1:34" x14ac:dyDescent="0.2">
      <c r="A70" s="18"/>
      <c r="B70" s="18"/>
      <c r="C70" s="19"/>
      <c r="D70" s="19"/>
      <c r="E70" s="19"/>
      <c r="F70" s="19"/>
      <c r="G70" s="19"/>
      <c r="H70" s="19"/>
      <c r="I70" s="19"/>
      <c r="J70" s="19"/>
      <c r="K70" s="19"/>
      <c r="L70" s="35"/>
      <c r="M70" s="35"/>
      <c r="N70" s="35"/>
      <c r="O70" s="36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  <c r="AA70" s="18"/>
      <c r="AB70" s="18"/>
      <c r="AC70" s="18"/>
      <c r="AD70" s="18"/>
      <c r="AE70" s="18"/>
      <c r="AF70" s="18"/>
      <c r="AG70" s="18"/>
      <c r="AH70" s="18"/>
    </row>
    <row r="71" spans="1:34" x14ac:dyDescent="0.2">
      <c r="A71" s="18"/>
      <c r="B71" s="18"/>
      <c r="C71" s="19"/>
      <c r="D71" s="19"/>
      <c r="E71" s="19"/>
      <c r="F71" s="19"/>
      <c r="G71" s="19"/>
      <c r="H71" s="19"/>
      <c r="I71" s="19"/>
      <c r="J71" s="19"/>
      <c r="K71" s="19"/>
      <c r="L71" s="35"/>
      <c r="M71" s="35"/>
      <c r="N71" s="35"/>
      <c r="O71" s="36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  <c r="AH71" s="18"/>
    </row>
  </sheetData>
  <sheetProtection selectLockedCells="1"/>
  <customSheetViews>
    <customSheetView guid="{5C9AFCBE-E352-4226-8750-F441413CCE21}" showGridLines="0" fitToPage="1" topLeftCell="F1">
      <selection activeCell="Y1" sqref="Y1"/>
      <pageMargins left="0.75" right="0.75" top="1" bottom="1" header="0.5" footer="0.5"/>
      <pageSetup scale="48" orientation="landscape" r:id="rId1"/>
      <headerFooter alignWithMargins="0">
        <oddHeader>&amp;A</oddHeader>
        <oddFooter>Page &amp;P of &amp;N</oddFooter>
      </headerFooter>
    </customSheetView>
  </customSheetViews>
  <mergeCells count="5">
    <mergeCell ref="M58:N58"/>
    <mergeCell ref="G1:K1"/>
    <mergeCell ref="L1:N1"/>
    <mergeCell ref="C53:I53"/>
    <mergeCell ref="I51:J51"/>
  </mergeCells>
  <conditionalFormatting sqref="L3:M49">
    <cfRule type="containsBlanks" priority="65" stopIfTrue="1">
      <formula>LEN(TRIM(L3))=0</formula>
    </cfRule>
  </conditionalFormatting>
  <conditionalFormatting sqref="M13:M49">
    <cfRule type="cellIs" dxfId="18" priority="117" operator="greaterThan">
      <formula>#REF!</formula>
    </cfRule>
    <cfRule type="cellIs" dxfId="17" priority="118" operator="lessThan">
      <formula>#REF!</formula>
    </cfRule>
  </conditionalFormatting>
  <conditionalFormatting sqref="L3:M49">
    <cfRule type="cellIs" dxfId="16" priority="124" operator="greaterThan">
      <formula>G3</formula>
    </cfRule>
    <cfRule type="cellIs" dxfId="15" priority="125" operator="lessThan">
      <formula>G3</formula>
    </cfRule>
  </conditionalFormatting>
  <conditionalFormatting sqref="N3:N49">
    <cfRule type="cellIs" priority="128" stopIfTrue="1" operator="equal">
      <formula>0</formula>
    </cfRule>
    <cfRule type="cellIs" dxfId="14" priority="129" operator="lessThan">
      <formula>K3</formula>
    </cfRule>
    <cfRule type="cellIs" dxfId="13" priority="130" operator="greaterThan">
      <formula>K3</formula>
    </cfRule>
  </conditionalFormatting>
  <conditionalFormatting sqref="O55:W55">
    <cfRule type="cellIs" dxfId="12" priority="22" operator="greaterThan">
      <formula>0</formula>
    </cfRule>
  </conditionalFormatting>
  <conditionalFormatting sqref="O56:W56">
    <cfRule type="cellIs" dxfId="11" priority="21" operator="greaterThan">
      <formula>0</formula>
    </cfRule>
  </conditionalFormatting>
  <conditionalFormatting sqref="G3:H49">
    <cfRule type="expression" dxfId="10" priority="11">
      <formula>FormulaInCell</formula>
    </cfRule>
  </conditionalFormatting>
  <conditionalFormatting sqref="O3:W49">
    <cfRule type="cellIs" dxfId="9" priority="18" operator="equal">
      <formula>"X"</formula>
    </cfRule>
    <cfRule type="cellIs" dxfId="8" priority="19" operator="greaterThan">
      <formula>0</formula>
    </cfRule>
    <cfRule type="expression" dxfId="7" priority="20">
      <formula>AND(O$2&gt;=$G3,O$2&lt;$H3,ISNUMBER(O3))</formula>
    </cfRule>
    <cfRule type="expression" dxfId="6" priority="23">
      <formula>AND(O$2&gt;=$G3,O$2&lt;$H3)</formula>
    </cfRule>
    <cfRule type="expression" dxfId="5" priority="24">
      <formula>AND(ISNUMBER(O3))</formula>
    </cfRule>
  </conditionalFormatting>
  <conditionalFormatting sqref="O59:W59 O2:W2">
    <cfRule type="expression" dxfId="4" priority="6">
      <formula>O2&gt;MAX($H$3:$H$39)</formula>
    </cfRule>
  </conditionalFormatting>
  <conditionalFormatting sqref="N52:W52">
    <cfRule type="expression" dxfId="3" priority="4">
      <formula>N52&gt;MAX($H$3:$H$39)</formula>
    </cfRule>
  </conditionalFormatting>
  <conditionalFormatting sqref="O50:W50">
    <cfRule type="cellIs" priority="1" stopIfTrue="1" operator="equal">
      <formula>0</formula>
    </cfRule>
    <cfRule type="cellIs" dxfId="2" priority="2" operator="lessThan">
      <formula>$K$51</formula>
    </cfRule>
    <cfRule type="cellIs" dxfId="1" priority="3" operator="greaterThan">
      <formula>$K$51</formula>
    </cfRule>
  </conditionalFormatting>
  <conditionalFormatting sqref="O53:W53">
    <cfRule type="expression" dxfId="0" priority="146">
      <formula>O53=N$53</formula>
    </cfRule>
  </conditionalFormatting>
  <dataValidations count="2">
    <dataValidation type="decimal" allowBlank="1" showInputMessage="1" showErrorMessage="1" error="Please enter a valid number." sqref="WSV983041:WTE983044 WIZ983041:WJI983044 VZD983041:VZM983044 VPH983041:VPQ983044 VFL983041:VFU983044 UVP983041:UVY983044 ULT983041:UMC983044 UBX983041:UCG983044 TSB983041:TSK983044 TIF983041:TIO983044 SYJ983041:SYS983044 SON983041:SOW983044 SER983041:SFA983044 RUV983041:RVE983044 RKZ983041:RLI983044 RBD983041:RBM983044 QRH983041:QRQ983044 QHL983041:QHU983044 PXP983041:PXY983044 PNT983041:POC983044 PDX983041:PEG983044 OUB983041:OUK983044 OKF983041:OKO983044 OAJ983041:OAS983044 NQN983041:NQW983044 NGR983041:NHA983044 MWV983041:MXE983044 MMZ983041:MNI983044 MDD983041:MDM983044 LTH983041:LTQ983044 LJL983041:LJU983044 KZP983041:KZY983044 KPT983041:KQC983044 KFX983041:KGG983044 JWB983041:JWK983044 JMF983041:JMO983044 JCJ983041:JCS983044 ISN983041:ISW983044 IIR983041:IJA983044 HYV983041:HZE983044 HOZ983041:HPI983044 HFD983041:HFM983044 GVH983041:GVQ983044 GLL983041:GLU983044 GBP983041:GBY983044 FRT983041:FSC983044 FHX983041:FIG983044 EYB983041:EYK983044 EOF983041:EOO983044 EEJ983041:EES983044 DUN983041:DUW983044 DKR983041:DLA983044 DAV983041:DBE983044 CQZ983041:CRI983044 CHD983041:CHM983044 BXH983041:BXQ983044 BNL983041:BNU983044 BDP983041:BDY983044 ATT983041:AUC983044 AJX983041:AKG983044 AAB983041:AAK983044 QF983041:QO983044 GJ983041:GS983044 WSV917505:WTE917508 WIZ917505:WJI917508 VZD917505:VZM917508 VPH917505:VPQ917508 VFL917505:VFU917508 UVP917505:UVY917508 ULT917505:UMC917508 UBX917505:UCG917508 TSB917505:TSK917508 TIF917505:TIO917508 SYJ917505:SYS917508 SON917505:SOW917508 SER917505:SFA917508 RUV917505:RVE917508 RKZ917505:RLI917508 RBD917505:RBM917508 QRH917505:QRQ917508 QHL917505:QHU917508 PXP917505:PXY917508 PNT917505:POC917508 PDX917505:PEG917508 OUB917505:OUK917508 OKF917505:OKO917508 OAJ917505:OAS917508 NQN917505:NQW917508 NGR917505:NHA917508 MWV917505:MXE917508 MMZ917505:MNI917508 MDD917505:MDM917508 LTH917505:LTQ917508 LJL917505:LJU917508 KZP917505:KZY917508 KPT917505:KQC917508 KFX917505:KGG917508 JWB917505:JWK917508 JMF917505:JMO917508 JCJ917505:JCS917508 ISN917505:ISW917508 IIR917505:IJA917508 HYV917505:HZE917508 HOZ917505:HPI917508 HFD917505:HFM917508 GVH917505:GVQ917508 GLL917505:GLU917508 GBP917505:GBY917508 FRT917505:FSC917508 FHX917505:FIG917508 EYB917505:EYK917508 EOF917505:EOO917508 EEJ917505:EES917508 DUN917505:DUW917508 DKR917505:DLA917508 DAV917505:DBE917508 CQZ917505:CRI917508 CHD917505:CHM917508 BXH917505:BXQ917508 BNL917505:BNU917508 BDP917505:BDY917508 ATT917505:AUC917508 AJX917505:AKG917508 AAB917505:AAK917508 QF917505:QO917508 GJ917505:GS917508 WSV851969:WTE851972 WIZ851969:WJI851972 VZD851969:VZM851972 VPH851969:VPQ851972 VFL851969:VFU851972 UVP851969:UVY851972 ULT851969:UMC851972 UBX851969:UCG851972 TSB851969:TSK851972 TIF851969:TIO851972 SYJ851969:SYS851972 SON851969:SOW851972 SER851969:SFA851972 RUV851969:RVE851972 RKZ851969:RLI851972 RBD851969:RBM851972 QRH851969:QRQ851972 QHL851969:QHU851972 PXP851969:PXY851972 PNT851969:POC851972 PDX851969:PEG851972 OUB851969:OUK851972 OKF851969:OKO851972 OAJ851969:OAS851972 NQN851969:NQW851972 NGR851969:NHA851972 MWV851969:MXE851972 MMZ851969:MNI851972 MDD851969:MDM851972 LTH851969:LTQ851972 LJL851969:LJU851972 KZP851969:KZY851972 KPT851969:KQC851972 KFX851969:KGG851972 JWB851969:JWK851972 JMF851969:JMO851972 JCJ851969:JCS851972 ISN851969:ISW851972 IIR851969:IJA851972 HYV851969:HZE851972 HOZ851969:HPI851972 HFD851969:HFM851972 GVH851969:GVQ851972 GLL851969:GLU851972 GBP851969:GBY851972 FRT851969:FSC851972 FHX851969:FIG851972 EYB851969:EYK851972 EOF851969:EOO851972 EEJ851969:EES851972 DUN851969:DUW851972 DKR851969:DLA851972 DAV851969:DBE851972 CQZ851969:CRI851972 CHD851969:CHM851972 BXH851969:BXQ851972 BNL851969:BNU851972 BDP851969:BDY851972 ATT851969:AUC851972 AJX851969:AKG851972 AAB851969:AAK851972 QF851969:QO851972 GJ851969:GS851972 WSV786433:WTE786436 WIZ786433:WJI786436 VZD786433:VZM786436 VPH786433:VPQ786436 VFL786433:VFU786436 UVP786433:UVY786436 ULT786433:UMC786436 UBX786433:UCG786436 TSB786433:TSK786436 TIF786433:TIO786436 SYJ786433:SYS786436 SON786433:SOW786436 SER786433:SFA786436 RUV786433:RVE786436 RKZ786433:RLI786436 RBD786433:RBM786436 QRH786433:QRQ786436 QHL786433:QHU786436 PXP786433:PXY786436 PNT786433:POC786436 PDX786433:PEG786436 OUB786433:OUK786436 OKF786433:OKO786436 OAJ786433:OAS786436 NQN786433:NQW786436 NGR786433:NHA786436 MWV786433:MXE786436 MMZ786433:MNI786436 MDD786433:MDM786436 LTH786433:LTQ786436 LJL786433:LJU786436 KZP786433:KZY786436 KPT786433:KQC786436 KFX786433:KGG786436 JWB786433:JWK786436 JMF786433:JMO786436 JCJ786433:JCS786436 ISN786433:ISW786436 IIR786433:IJA786436 HYV786433:HZE786436 HOZ786433:HPI786436 HFD786433:HFM786436 GVH786433:GVQ786436 GLL786433:GLU786436 GBP786433:GBY786436 FRT786433:FSC786436 FHX786433:FIG786436 EYB786433:EYK786436 EOF786433:EOO786436 EEJ786433:EES786436 DUN786433:DUW786436 DKR786433:DLA786436 DAV786433:DBE786436 CQZ786433:CRI786436 CHD786433:CHM786436 BXH786433:BXQ786436 BNL786433:BNU786436 BDP786433:BDY786436 ATT786433:AUC786436 AJX786433:AKG786436 AAB786433:AAK786436 QF786433:QO786436 GJ786433:GS786436 WSV720897:WTE720900 WIZ720897:WJI720900 VZD720897:VZM720900 VPH720897:VPQ720900 VFL720897:VFU720900 UVP720897:UVY720900 ULT720897:UMC720900 UBX720897:UCG720900 TSB720897:TSK720900 TIF720897:TIO720900 SYJ720897:SYS720900 SON720897:SOW720900 SER720897:SFA720900 RUV720897:RVE720900 RKZ720897:RLI720900 RBD720897:RBM720900 QRH720897:QRQ720900 QHL720897:QHU720900 PXP720897:PXY720900 PNT720897:POC720900 PDX720897:PEG720900 OUB720897:OUK720900 OKF720897:OKO720900 OAJ720897:OAS720900 NQN720897:NQW720900 NGR720897:NHA720900 MWV720897:MXE720900 MMZ720897:MNI720900 MDD720897:MDM720900 LTH720897:LTQ720900 LJL720897:LJU720900 KZP720897:KZY720900 KPT720897:KQC720900 KFX720897:KGG720900 JWB720897:JWK720900 JMF720897:JMO720900 JCJ720897:JCS720900 ISN720897:ISW720900 IIR720897:IJA720900 HYV720897:HZE720900 HOZ720897:HPI720900 HFD720897:HFM720900 GVH720897:GVQ720900 GLL720897:GLU720900 GBP720897:GBY720900 FRT720897:FSC720900 FHX720897:FIG720900 EYB720897:EYK720900 EOF720897:EOO720900 EEJ720897:EES720900 DUN720897:DUW720900 DKR720897:DLA720900 DAV720897:DBE720900 CQZ720897:CRI720900 CHD720897:CHM720900 BXH720897:BXQ720900 BNL720897:BNU720900 BDP720897:BDY720900 ATT720897:AUC720900 AJX720897:AKG720900 AAB720897:AAK720900 QF720897:QO720900 GJ720897:GS720900 WSV655361:WTE655364 WIZ655361:WJI655364 VZD655361:VZM655364 VPH655361:VPQ655364 VFL655361:VFU655364 UVP655361:UVY655364 ULT655361:UMC655364 UBX655361:UCG655364 TSB655361:TSK655364 TIF655361:TIO655364 SYJ655361:SYS655364 SON655361:SOW655364 SER655361:SFA655364 RUV655361:RVE655364 RKZ655361:RLI655364 RBD655361:RBM655364 QRH655361:QRQ655364 QHL655361:QHU655364 PXP655361:PXY655364 PNT655361:POC655364 PDX655361:PEG655364 OUB655361:OUK655364 OKF655361:OKO655364 OAJ655361:OAS655364 NQN655361:NQW655364 NGR655361:NHA655364 MWV655361:MXE655364 MMZ655361:MNI655364 MDD655361:MDM655364 LTH655361:LTQ655364 LJL655361:LJU655364 KZP655361:KZY655364 KPT655361:KQC655364 KFX655361:KGG655364 JWB655361:JWK655364 JMF655361:JMO655364 JCJ655361:JCS655364 ISN655361:ISW655364 IIR655361:IJA655364 HYV655361:HZE655364 HOZ655361:HPI655364 HFD655361:HFM655364 GVH655361:GVQ655364 GLL655361:GLU655364 GBP655361:GBY655364 FRT655361:FSC655364 FHX655361:FIG655364 EYB655361:EYK655364 EOF655361:EOO655364 EEJ655361:EES655364 DUN655361:DUW655364 DKR655361:DLA655364 DAV655361:DBE655364 CQZ655361:CRI655364 CHD655361:CHM655364 BXH655361:BXQ655364 BNL655361:BNU655364 BDP655361:BDY655364 ATT655361:AUC655364 AJX655361:AKG655364 AAB655361:AAK655364 QF655361:QO655364 GJ655361:GS655364 WSV589825:WTE589828 WIZ589825:WJI589828 VZD589825:VZM589828 VPH589825:VPQ589828 VFL589825:VFU589828 UVP589825:UVY589828 ULT589825:UMC589828 UBX589825:UCG589828 TSB589825:TSK589828 TIF589825:TIO589828 SYJ589825:SYS589828 SON589825:SOW589828 SER589825:SFA589828 RUV589825:RVE589828 RKZ589825:RLI589828 RBD589825:RBM589828 QRH589825:QRQ589828 QHL589825:QHU589828 PXP589825:PXY589828 PNT589825:POC589828 PDX589825:PEG589828 OUB589825:OUK589828 OKF589825:OKO589828 OAJ589825:OAS589828 NQN589825:NQW589828 NGR589825:NHA589828 MWV589825:MXE589828 MMZ589825:MNI589828 MDD589825:MDM589828 LTH589825:LTQ589828 LJL589825:LJU589828 KZP589825:KZY589828 KPT589825:KQC589828 KFX589825:KGG589828 JWB589825:JWK589828 JMF589825:JMO589828 JCJ589825:JCS589828 ISN589825:ISW589828 IIR589825:IJA589828 HYV589825:HZE589828 HOZ589825:HPI589828 HFD589825:HFM589828 GVH589825:GVQ589828 GLL589825:GLU589828 GBP589825:GBY589828 FRT589825:FSC589828 FHX589825:FIG589828 EYB589825:EYK589828 EOF589825:EOO589828 EEJ589825:EES589828 DUN589825:DUW589828 DKR589825:DLA589828 DAV589825:DBE589828 CQZ589825:CRI589828 CHD589825:CHM589828 BXH589825:BXQ589828 BNL589825:BNU589828 BDP589825:BDY589828 ATT589825:AUC589828 AJX589825:AKG589828 AAB589825:AAK589828 QF589825:QO589828 GJ589825:GS589828 WSV524289:WTE524292 WIZ524289:WJI524292 VZD524289:VZM524292 VPH524289:VPQ524292 VFL524289:VFU524292 UVP524289:UVY524292 ULT524289:UMC524292 UBX524289:UCG524292 TSB524289:TSK524292 TIF524289:TIO524292 SYJ524289:SYS524292 SON524289:SOW524292 SER524289:SFA524292 RUV524289:RVE524292 RKZ524289:RLI524292 RBD524289:RBM524292 QRH524289:QRQ524292 QHL524289:QHU524292 PXP524289:PXY524292 PNT524289:POC524292 PDX524289:PEG524292 OUB524289:OUK524292 OKF524289:OKO524292 OAJ524289:OAS524292 NQN524289:NQW524292 NGR524289:NHA524292 MWV524289:MXE524292 MMZ524289:MNI524292 MDD524289:MDM524292 LTH524289:LTQ524292 LJL524289:LJU524292 KZP524289:KZY524292 KPT524289:KQC524292 KFX524289:KGG524292 JWB524289:JWK524292 JMF524289:JMO524292 JCJ524289:JCS524292 ISN524289:ISW524292 IIR524289:IJA524292 HYV524289:HZE524292 HOZ524289:HPI524292 HFD524289:HFM524292 GVH524289:GVQ524292 GLL524289:GLU524292 GBP524289:GBY524292 FRT524289:FSC524292 FHX524289:FIG524292 EYB524289:EYK524292 EOF524289:EOO524292 EEJ524289:EES524292 DUN524289:DUW524292 DKR524289:DLA524292 DAV524289:DBE524292 CQZ524289:CRI524292 CHD524289:CHM524292 BXH524289:BXQ524292 BNL524289:BNU524292 BDP524289:BDY524292 ATT524289:AUC524292 AJX524289:AKG524292 AAB524289:AAK524292 QF524289:QO524292 GJ524289:GS524292 WSV458753:WTE458756 WIZ458753:WJI458756 VZD458753:VZM458756 VPH458753:VPQ458756 VFL458753:VFU458756 UVP458753:UVY458756 ULT458753:UMC458756 UBX458753:UCG458756 TSB458753:TSK458756 TIF458753:TIO458756 SYJ458753:SYS458756 SON458753:SOW458756 SER458753:SFA458756 RUV458753:RVE458756 RKZ458753:RLI458756 RBD458753:RBM458756 QRH458753:QRQ458756 QHL458753:QHU458756 PXP458753:PXY458756 PNT458753:POC458756 PDX458753:PEG458756 OUB458753:OUK458756 OKF458753:OKO458756 OAJ458753:OAS458756 NQN458753:NQW458756 NGR458753:NHA458756 MWV458753:MXE458756 MMZ458753:MNI458756 MDD458753:MDM458756 LTH458753:LTQ458756 LJL458753:LJU458756 KZP458753:KZY458756 KPT458753:KQC458756 KFX458753:KGG458756 JWB458753:JWK458756 JMF458753:JMO458756 JCJ458753:JCS458756 ISN458753:ISW458756 IIR458753:IJA458756 HYV458753:HZE458756 HOZ458753:HPI458756 HFD458753:HFM458756 GVH458753:GVQ458756 GLL458753:GLU458756 GBP458753:GBY458756 FRT458753:FSC458756 FHX458753:FIG458756 EYB458753:EYK458756 EOF458753:EOO458756 EEJ458753:EES458756 DUN458753:DUW458756 DKR458753:DLA458756 DAV458753:DBE458756 CQZ458753:CRI458756 CHD458753:CHM458756 BXH458753:BXQ458756 BNL458753:BNU458756 BDP458753:BDY458756 ATT458753:AUC458756 AJX458753:AKG458756 AAB458753:AAK458756 QF458753:QO458756 GJ458753:GS458756 WSV393217:WTE393220 WIZ393217:WJI393220 VZD393217:VZM393220 VPH393217:VPQ393220 VFL393217:VFU393220 UVP393217:UVY393220 ULT393217:UMC393220 UBX393217:UCG393220 TSB393217:TSK393220 TIF393217:TIO393220 SYJ393217:SYS393220 SON393217:SOW393220 SER393217:SFA393220 RUV393217:RVE393220 RKZ393217:RLI393220 RBD393217:RBM393220 QRH393217:QRQ393220 QHL393217:QHU393220 PXP393217:PXY393220 PNT393217:POC393220 PDX393217:PEG393220 OUB393217:OUK393220 OKF393217:OKO393220 OAJ393217:OAS393220 NQN393217:NQW393220 NGR393217:NHA393220 MWV393217:MXE393220 MMZ393217:MNI393220 MDD393217:MDM393220 LTH393217:LTQ393220 LJL393217:LJU393220 KZP393217:KZY393220 KPT393217:KQC393220 KFX393217:KGG393220 JWB393217:JWK393220 JMF393217:JMO393220 JCJ393217:JCS393220 ISN393217:ISW393220 IIR393217:IJA393220 HYV393217:HZE393220 HOZ393217:HPI393220 HFD393217:HFM393220 GVH393217:GVQ393220 GLL393217:GLU393220 GBP393217:GBY393220 FRT393217:FSC393220 FHX393217:FIG393220 EYB393217:EYK393220 EOF393217:EOO393220 EEJ393217:EES393220 DUN393217:DUW393220 DKR393217:DLA393220 DAV393217:DBE393220 CQZ393217:CRI393220 CHD393217:CHM393220 BXH393217:BXQ393220 BNL393217:BNU393220 BDP393217:BDY393220 ATT393217:AUC393220 AJX393217:AKG393220 AAB393217:AAK393220 QF393217:QO393220 GJ393217:GS393220 WSV327681:WTE327684 WIZ327681:WJI327684 VZD327681:VZM327684 VPH327681:VPQ327684 VFL327681:VFU327684 UVP327681:UVY327684 ULT327681:UMC327684 UBX327681:UCG327684 TSB327681:TSK327684 TIF327681:TIO327684 SYJ327681:SYS327684 SON327681:SOW327684 SER327681:SFA327684 RUV327681:RVE327684 RKZ327681:RLI327684 RBD327681:RBM327684 QRH327681:QRQ327684 QHL327681:QHU327684 PXP327681:PXY327684 PNT327681:POC327684 PDX327681:PEG327684 OUB327681:OUK327684 OKF327681:OKO327684 OAJ327681:OAS327684 NQN327681:NQW327684 NGR327681:NHA327684 MWV327681:MXE327684 MMZ327681:MNI327684 MDD327681:MDM327684 LTH327681:LTQ327684 LJL327681:LJU327684 KZP327681:KZY327684 KPT327681:KQC327684 KFX327681:KGG327684 JWB327681:JWK327684 JMF327681:JMO327684 JCJ327681:JCS327684 ISN327681:ISW327684 IIR327681:IJA327684 HYV327681:HZE327684 HOZ327681:HPI327684 HFD327681:HFM327684 GVH327681:GVQ327684 GLL327681:GLU327684 GBP327681:GBY327684 FRT327681:FSC327684 FHX327681:FIG327684 EYB327681:EYK327684 EOF327681:EOO327684 EEJ327681:EES327684 DUN327681:DUW327684 DKR327681:DLA327684 DAV327681:DBE327684 CQZ327681:CRI327684 CHD327681:CHM327684 BXH327681:BXQ327684 BNL327681:BNU327684 BDP327681:BDY327684 ATT327681:AUC327684 AJX327681:AKG327684 AAB327681:AAK327684 QF327681:QO327684 GJ327681:GS327684 WSV262145:WTE262148 WIZ262145:WJI262148 VZD262145:VZM262148 VPH262145:VPQ262148 VFL262145:VFU262148 UVP262145:UVY262148 ULT262145:UMC262148 UBX262145:UCG262148 TSB262145:TSK262148 TIF262145:TIO262148 SYJ262145:SYS262148 SON262145:SOW262148 SER262145:SFA262148 RUV262145:RVE262148 RKZ262145:RLI262148 RBD262145:RBM262148 QRH262145:QRQ262148 QHL262145:QHU262148 PXP262145:PXY262148 PNT262145:POC262148 PDX262145:PEG262148 OUB262145:OUK262148 OKF262145:OKO262148 OAJ262145:OAS262148 NQN262145:NQW262148 NGR262145:NHA262148 MWV262145:MXE262148 MMZ262145:MNI262148 MDD262145:MDM262148 LTH262145:LTQ262148 LJL262145:LJU262148 KZP262145:KZY262148 KPT262145:KQC262148 KFX262145:KGG262148 JWB262145:JWK262148 JMF262145:JMO262148 JCJ262145:JCS262148 ISN262145:ISW262148 IIR262145:IJA262148 HYV262145:HZE262148 HOZ262145:HPI262148 HFD262145:HFM262148 GVH262145:GVQ262148 GLL262145:GLU262148 GBP262145:GBY262148 FRT262145:FSC262148 FHX262145:FIG262148 EYB262145:EYK262148 EOF262145:EOO262148 EEJ262145:EES262148 DUN262145:DUW262148 DKR262145:DLA262148 DAV262145:DBE262148 CQZ262145:CRI262148 CHD262145:CHM262148 BXH262145:BXQ262148 BNL262145:BNU262148 BDP262145:BDY262148 ATT262145:AUC262148 AJX262145:AKG262148 AAB262145:AAK262148 QF262145:QO262148 GJ262145:GS262148 WSV196609:WTE196612 WIZ196609:WJI196612 VZD196609:VZM196612 VPH196609:VPQ196612 VFL196609:VFU196612 UVP196609:UVY196612 ULT196609:UMC196612 UBX196609:UCG196612 TSB196609:TSK196612 TIF196609:TIO196612 SYJ196609:SYS196612 SON196609:SOW196612 SER196609:SFA196612 RUV196609:RVE196612 RKZ196609:RLI196612 RBD196609:RBM196612 QRH196609:QRQ196612 QHL196609:QHU196612 PXP196609:PXY196612 PNT196609:POC196612 PDX196609:PEG196612 OUB196609:OUK196612 OKF196609:OKO196612 OAJ196609:OAS196612 NQN196609:NQW196612 NGR196609:NHA196612 MWV196609:MXE196612 MMZ196609:MNI196612 MDD196609:MDM196612 LTH196609:LTQ196612 LJL196609:LJU196612 KZP196609:KZY196612 KPT196609:KQC196612 KFX196609:KGG196612 JWB196609:JWK196612 JMF196609:JMO196612 JCJ196609:JCS196612 ISN196609:ISW196612 IIR196609:IJA196612 HYV196609:HZE196612 HOZ196609:HPI196612 HFD196609:HFM196612 GVH196609:GVQ196612 GLL196609:GLU196612 GBP196609:GBY196612 FRT196609:FSC196612 FHX196609:FIG196612 EYB196609:EYK196612 EOF196609:EOO196612 EEJ196609:EES196612 DUN196609:DUW196612 DKR196609:DLA196612 DAV196609:DBE196612 CQZ196609:CRI196612 CHD196609:CHM196612 BXH196609:BXQ196612 BNL196609:BNU196612 BDP196609:BDY196612 ATT196609:AUC196612 AJX196609:AKG196612 AAB196609:AAK196612 QF196609:QO196612 GJ196609:GS196612 WSV131073:WTE131076 WIZ131073:WJI131076 VZD131073:VZM131076 VPH131073:VPQ131076 VFL131073:VFU131076 UVP131073:UVY131076 ULT131073:UMC131076 UBX131073:UCG131076 TSB131073:TSK131076 TIF131073:TIO131076 SYJ131073:SYS131076 SON131073:SOW131076 SER131073:SFA131076 RUV131073:RVE131076 RKZ131073:RLI131076 RBD131073:RBM131076 QRH131073:QRQ131076 QHL131073:QHU131076 PXP131073:PXY131076 PNT131073:POC131076 PDX131073:PEG131076 OUB131073:OUK131076 OKF131073:OKO131076 OAJ131073:OAS131076 NQN131073:NQW131076 NGR131073:NHA131076 MWV131073:MXE131076 MMZ131073:MNI131076 MDD131073:MDM131076 LTH131073:LTQ131076 LJL131073:LJU131076 KZP131073:KZY131076 KPT131073:KQC131076 KFX131073:KGG131076 JWB131073:JWK131076 JMF131073:JMO131076 JCJ131073:JCS131076 ISN131073:ISW131076 IIR131073:IJA131076 HYV131073:HZE131076 HOZ131073:HPI131076 HFD131073:HFM131076 GVH131073:GVQ131076 GLL131073:GLU131076 GBP131073:GBY131076 FRT131073:FSC131076 FHX131073:FIG131076 EYB131073:EYK131076 EOF131073:EOO131076 EEJ131073:EES131076 DUN131073:DUW131076 DKR131073:DLA131076 DAV131073:DBE131076 CQZ131073:CRI131076 CHD131073:CHM131076 BXH131073:BXQ131076 BNL131073:BNU131076 BDP131073:BDY131076 ATT131073:AUC131076 AJX131073:AKG131076 AAB131073:AAK131076 QF131073:QO131076 GJ131073:GS131076 WSV65537:WTE65540 WIZ65537:WJI65540 VZD65537:VZM65540 VPH65537:VPQ65540 VFL65537:VFU65540 UVP65537:UVY65540 ULT65537:UMC65540 UBX65537:UCG65540 TSB65537:TSK65540 TIF65537:TIO65540 SYJ65537:SYS65540 SON65537:SOW65540 SER65537:SFA65540 RUV65537:RVE65540 RKZ65537:RLI65540 RBD65537:RBM65540 QRH65537:QRQ65540 QHL65537:QHU65540 PXP65537:PXY65540 PNT65537:POC65540 PDX65537:PEG65540 OUB65537:OUK65540 OKF65537:OKO65540 OAJ65537:OAS65540 NQN65537:NQW65540 NGR65537:NHA65540 MWV65537:MXE65540 MMZ65537:MNI65540 MDD65537:MDM65540 LTH65537:LTQ65540 LJL65537:LJU65540 KZP65537:KZY65540 KPT65537:KQC65540 KFX65537:KGG65540 JWB65537:JWK65540 JMF65537:JMO65540 JCJ65537:JCS65540 ISN65537:ISW65540 IIR65537:IJA65540 HYV65537:HZE65540 HOZ65537:HPI65540 HFD65537:HFM65540 GVH65537:GVQ65540 GLL65537:GLU65540 GBP65537:GBY65540 FRT65537:FSC65540 FHX65537:FIG65540 EYB65537:EYK65540 EOF65537:EOO65540 EEJ65537:EES65540 DUN65537:DUW65540 DKR65537:DLA65540 DAV65537:DBE65540 CQZ65537:CRI65540 CHD65537:CHM65540 BXH65537:BXQ65540 BNL65537:BNU65540 BDP65537:BDY65540 ATT65537:AUC65540 AJX65537:AKG65540 AAB65537:AAK65540 QF65537:QO65540 GJ65537:GS65540 O983041:W983044 O917505:W917508 O851969:W851972 O786433:W786436 O720897:W720900 O655361:W655364 O589825:W589828 O524289:W524292 O458753:W458756 O393217:W393220 O327681:W327684 O262145:W262148 O196609:W196612 O131073:W131076 O65537:W65540">
      <formula1>-100000000</formula1>
      <formula2>100000000</formula2>
    </dataValidation>
    <dataValidation type="list" allowBlank="1" showInputMessage="1" showErrorMessage="1" sqref="H3:H27 G28:H49 G12:G27 G4:G8">
      <formula1>$O$2:$W$2</formula1>
    </dataValidation>
  </dataValidations>
  <pageMargins left="0.75" right="0.75" top="1" bottom="1" header="0.5" footer="0.5"/>
  <pageSetup scale="33" orientation="landscape" r:id="rId2"/>
  <headerFooter alignWithMargins="0">
    <oddHeader>&amp;A</oddHeader>
    <oddFooter>Page &amp;P of &amp;N</oddFooter>
  </headerFooter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6"/>
  <sheetViews>
    <sheetView zoomScaleNormal="100" workbookViewId="0">
      <selection activeCell="H29" sqref="H29"/>
    </sheetView>
  </sheetViews>
  <sheetFormatPr defaultRowHeight="15" x14ac:dyDescent="0.25"/>
  <cols>
    <col min="1" max="8" width="10" customWidth="1"/>
  </cols>
  <sheetData>
    <row r="1" spans="1:19" x14ac:dyDescent="0.25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</row>
    <row r="2" spans="1:19" x14ac:dyDescent="0.25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</row>
    <row r="3" spans="1:19" x14ac:dyDescent="0.25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</row>
    <row r="4" spans="1:19" x14ac:dyDescent="0.25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</row>
    <row r="5" spans="1:19" x14ac:dyDescent="0.25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</row>
    <row r="6" spans="1:19" x14ac:dyDescent="0.25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</row>
    <row r="7" spans="1:19" x14ac:dyDescent="0.25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</row>
    <row r="8" spans="1:19" x14ac:dyDescent="0.25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</row>
    <row r="9" spans="1:19" x14ac:dyDescent="0.25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</row>
    <row r="10" spans="1:19" x14ac:dyDescent="0.25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</row>
    <row r="11" spans="1:19" x14ac:dyDescent="0.25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1:19" x14ac:dyDescent="0.25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</row>
    <row r="13" spans="1:19" x14ac:dyDescent="0.25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</row>
    <row r="14" spans="1:19" x14ac:dyDescent="0.25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</row>
    <row r="15" spans="1:19" x14ac:dyDescent="0.25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</row>
    <row r="16" spans="1:19" x14ac:dyDescent="0.25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</row>
    <row r="17" spans="1:19" x14ac:dyDescent="0.25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</row>
    <row r="18" spans="1:19" x14ac:dyDescent="0.25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</row>
    <row r="19" spans="1:19" x14ac:dyDescent="0.25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</row>
    <row r="20" spans="1:19" x14ac:dyDescent="0.25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</row>
    <row r="21" spans="1:19" x14ac:dyDescent="0.25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</row>
    <row r="22" spans="1:19" x14ac:dyDescent="0.25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</row>
    <row r="23" spans="1:19" x14ac:dyDescent="0.25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</row>
    <row r="24" spans="1:19" x14ac:dyDescent="0.25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</row>
    <row r="25" spans="1:19" x14ac:dyDescent="0.25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</row>
    <row r="26" spans="1:19" x14ac:dyDescent="0.25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</row>
    <row r="27" spans="1:19" x14ac:dyDescent="0.25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</row>
    <row r="28" spans="1:19" x14ac:dyDescent="0.25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</row>
    <row r="29" spans="1:19" x14ac:dyDescent="0.25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</row>
    <row r="30" spans="1:19" x14ac:dyDescent="0.25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</row>
    <row r="31" spans="1:19" x14ac:dyDescent="0.25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</row>
    <row r="32" spans="1:19" x14ac:dyDescent="0.25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</row>
    <row r="33" spans="1:19" x14ac:dyDescent="0.25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</row>
    <row r="34" spans="1:19" x14ac:dyDescent="0.25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</row>
    <row r="35" spans="1:19" x14ac:dyDescent="0.25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</row>
    <row r="36" spans="1:19" x14ac:dyDescent="0.25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</row>
    <row r="37" spans="1:19" x14ac:dyDescent="0.25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</row>
    <row r="38" spans="1:19" x14ac:dyDescent="0.25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</row>
    <row r="39" spans="1:19" x14ac:dyDescent="0.25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</row>
    <row r="40" spans="1:19" x14ac:dyDescent="0.25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</row>
    <row r="41" spans="1:19" x14ac:dyDescent="0.25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</row>
    <row r="42" spans="1:19" x14ac:dyDescent="0.25">
      <c r="A42" s="16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</row>
    <row r="43" spans="1:19" x14ac:dyDescent="0.25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</row>
    <row r="44" spans="1:19" x14ac:dyDescent="0.25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</row>
    <row r="45" spans="1:19" x14ac:dyDescent="0.25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</row>
    <row r="46" spans="1:19" x14ac:dyDescent="0.25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</row>
  </sheetData>
  <sheetProtection sheet="1" objects="1" scenarios="1" selectLockedCells="1"/>
  <customSheetViews>
    <customSheetView guid="{5C9AFCBE-E352-4226-8750-F441413CCE21}">
      <selection activeCell="N19" sqref="N19"/>
      <pageMargins left="0.7" right="0.7" top="0.75" bottom="0.75" header="0.3" footer="0.3"/>
    </customSheetView>
  </customSheetView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3</vt:i4>
      </vt:variant>
    </vt:vector>
  </HeadingPairs>
  <TitlesOfParts>
    <vt:vector size="3" baseType="lpstr">
      <vt:lpstr>Information</vt:lpstr>
      <vt:lpstr>Project Tracking</vt:lpstr>
      <vt:lpstr>Graph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Cunha</dc:creator>
  <cp:lastModifiedBy>Filipe</cp:lastModifiedBy>
  <dcterms:created xsi:type="dcterms:W3CDTF">2009-04-24T00:02:24Z</dcterms:created>
  <dcterms:modified xsi:type="dcterms:W3CDTF">2013-04-20T09:34:11Z</dcterms:modified>
</cp:coreProperties>
</file>