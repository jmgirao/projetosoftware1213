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33" i="2"/>
  <c r="U39"/>
  <c r="U50"/>
  <c r="U26"/>
  <c r="U21"/>
  <c r="U16"/>
  <c r="V15"/>
  <c r="U38"/>
  <c r="U7"/>
  <c r="U47"/>
  <c r="U29" l="1"/>
  <c r="U28"/>
  <c r="T31" l="1"/>
  <c r="T49"/>
  <c r="T46"/>
  <c r="S35" l="1"/>
  <c r="T35"/>
  <c r="T24"/>
  <c r="T37" l="1"/>
  <c r="T32"/>
  <c r="T29"/>
  <c r="T28"/>
  <c r="T7" l="1"/>
  <c r="T21"/>
  <c r="S45" l="1"/>
  <c r="S21" l="1"/>
  <c r="S48" l="1"/>
  <c r="S7" l="1"/>
  <c r="J63" l="1"/>
  <c r="K63"/>
  <c r="R43"/>
  <c r="R10" l="1"/>
  <c r="R14" l="1"/>
  <c r="R12"/>
  <c r="R7" l="1"/>
  <c r="R11" l="1"/>
  <c r="P48"/>
  <c r="Q48" s="1"/>
  <c r="R48" s="1"/>
  <c r="P49"/>
  <c r="P50"/>
  <c r="N33"/>
  <c r="N34"/>
  <c r="P53"/>
  <c r="Q53" s="1"/>
  <c r="R53" s="1"/>
  <c r="S53" s="1"/>
  <c r="T53" s="1"/>
  <c r="U53" s="1"/>
  <c r="V53" s="1"/>
  <c r="W53" s="1"/>
  <c r="P54"/>
  <c r="P55"/>
  <c r="P52"/>
  <c r="P51"/>
  <c r="Q42"/>
  <c r="P41"/>
  <c r="O40"/>
  <c r="R8"/>
  <c r="Q55" l="1"/>
  <c r="R55" s="1"/>
  <c r="S55" s="1"/>
  <c r="T55" s="1"/>
  <c r="U55" s="1"/>
  <c r="V55" s="1"/>
  <c r="W55" s="1"/>
  <c r="O60"/>
  <c r="O66"/>
  <c r="Q52"/>
  <c r="R52" s="1"/>
  <c r="S52" s="1"/>
  <c r="T52" s="1"/>
  <c r="U52" s="1"/>
  <c r="V52" s="1"/>
  <c r="W52" s="1"/>
  <c r="Q54"/>
  <c r="Q50"/>
  <c r="R50" s="1"/>
  <c r="S50" s="1"/>
  <c r="T50" s="1"/>
  <c r="V50" s="1"/>
  <c r="W50" s="1"/>
  <c r="Q49"/>
  <c r="R49" s="1"/>
  <c r="V49" s="1"/>
  <c r="W49" s="1"/>
  <c r="N53"/>
  <c r="U48"/>
  <c r="V48" s="1"/>
  <c r="W48" s="1"/>
  <c r="L53" a="1"/>
  <c r="L53" s="1"/>
  <c r="M53"/>
  <c r="Q51"/>
  <c r="R51" s="1"/>
  <c r="S51" s="1"/>
  <c r="T51" s="1"/>
  <c r="U51" s="1"/>
  <c r="V51" s="1"/>
  <c r="W51" s="1"/>
  <c r="Q8"/>
  <c r="N49" l="1"/>
  <c r="N50"/>
  <c r="N52"/>
  <c r="N51"/>
  <c r="L55" a="1"/>
  <c r="L55" s="1"/>
  <c r="R54"/>
  <c r="M55"/>
  <c r="N55"/>
  <c r="N48"/>
  <c r="M52"/>
  <c r="L51" a="1"/>
  <c r="L51" s="1"/>
  <c r="L52" a="1"/>
  <c r="L52" s="1"/>
  <c r="M51"/>
  <c r="M50"/>
  <c r="P42"/>
  <c r="P43"/>
  <c r="P44"/>
  <c r="P45"/>
  <c r="Q45" s="1"/>
  <c r="P46"/>
  <c r="P47"/>
  <c r="P56"/>
  <c r="P57"/>
  <c r="P58"/>
  <c r="P59"/>
  <c r="Q58" l="1"/>
  <c r="R58" s="1"/>
  <c r="S58" s="1"/>
  <c r="T58" s="1"/>
  <c r="U58" s="1"/>
  <c r="V58" s="1"/>
  <c r="W58" s="1"/>
  <c r="S42"/>
  <c r="T42" s="1"/>
  <c r="U42" s="1"/>
  <c r="V42" s="1"/>
  <c r="Q47"/>
  <c r="R47" s="1"/>
  <c r="T47" s="1"/>
  <c r="V47" s="1"/>
  <c r="W47" s="1"/>
  <c r="Q46"/>
  <c r="R46" s="1"/>
  <c r="S46" s="1"/>
  <c r="V46" s="1"/>
  <c r="W46" s="1"/>
  <c r="S54"/>
  <c r="Q43"/>
  <c r="T43" s="1"/>
  <c r="U43" s="1"/>
  <c r="Q57"/>
  <c r="R57" s="1"/>
  <c r="Q59"/>
  <c r="R59" s="1"/>
  <c r="S59" s="1"/>
  <c r="T59" s="1"/>
  <c r="U59" s="1"/>
  <c r="V59" s="1"/>
  <c r="W59" s="1"/>
  <c r="R45"/>
  <c r="Q56"/>
  <c r="Q44"/>
  <c r="O71"/>
  <c r="M17"/>
  <c r="M18"/>
  <c r="M21"/>
  <c r="M22"/>
  <c r="M23"/>
  <c r="M24"/>
  <c r="M26"/>
  <c r="M27"/>
  <c r="M28"/>
  <c r="M29"/>
  <c r="M30"/>
  <c r="L26" a="1"/>
  <c r="L26" s="1"/>
  <c r="L27" a="1"/>
  <c r="L27" s="1"/>
  <c r="N17"/>
  <c r="N18"/>
  <c r="N19"/>
  <c r="N20"/>
  <c r="N21"/>
  <c r="N22"/>
  <c r="N23"/>
  <c r="N24"/>
  <c r="N25"/>
  <c r="N26"/>
  <c r="N27"/>
  <c r="N28"/>
  <c r="N29"/>
  <c r="N30"/>
  <c r="M47" l="1"/>
  <c r="N47"/>
  <c r="N46"/>
  <c r="N42"/>
  <c r="N59"/>
  <c r="S57"/>
  <c r="T57" s="1"/>
  <c r="U57" s="1"/>
  <c r="V57" s="1"/>
  <c r="W57" s="1"/>
  <c r="L58" a="1"/>
  <c r="L58" s="1"/>
  <c r="M58"/>
  <c r="T54"/>
  <c r="N58"/>
  <c r="U45"/>
  <c r="V45" s="1"/>
  <c r="W45" s="1"/>
  <c r="N45" s="1"/>
  <c r="V43"/>
  <c r="M59"/>
  <c r="L59" a="1"/>
  <c r="L59" s="1"/>
  <c r="R44"/>
  <c r="R56"/>
  <c r="N7"/>
  <c r="Q3"/>
  <c r="N4"/>
  <c r="N5"/>
  <c r="N6"/>
  <c r="N8"/>
  <c r="N9"/>
  <c r="N10"/>
  <c r="N11"/>
  <c r="L9" a="1"/>
  <c r="L9" s="1"/>
  <c r="M57" l="1"/>
  <c r="L57" a="1"/>
  <c r="L57" s="1"/>
  <c r="U54"/>
  <c r="N57"/>
  <c r="W43"/>
  <c r="N43" s="1"/>
  <c r="S44"/>
  <c r="T44" s="1"/>
  <c r="U44" s="1"/>
  <c r="V44" s="1"/>
  <c r="W44" s="1"/>
  <c r="N44" s="1"/>
  <c r="S56"/>
  <c r="R3"/>
  <c r="W62"/>
  <c r="U13"/>
  <c r="V13" s="1"/>
  <c r="W15"/>
  <c r="W16"/>
  <c r="O2"/>
  <c r="P15"/>
  <c r="P16"/>
  <c r="P31"/>
  <c r="P32"/>
  <c r="P35"/>
  <c r="P36"/>
  <c r="P37"/>
  <c r="P38"/>
  <c r="P39"/>
  <c r="O77"/>
  <c r="P77"/>
  <c r="Q77"/>
  <c r="R77"/>
  <c r="S77"/>
  <c r="T77"/>
  <c r="U77"/>
  <c r="V77"/>
  <c r="W77"/>
  <c r="S3" l="1"/>
  <c r="T3" s="1"/>
  <c r="Q39"/>
  <c r="R39" s="1"/>
  <c r="S39" s="1"/>
  <c r="T39" s="1"/>
  <c r="V39" s="1"/>
  <c r="W39" s="1"/>
  <c r="M39" s="1"/>
  <c r="O65"/>
  <c r="P60"/>
  <c r="P66"/>
  <c r="V54"/>
  <c r="W54" s="1"/>
  <c r="U12"/>
  <c r="M44"/>
  <c r="L46" a="1"/>
  <c r="L46" s="1"/>
  <c r="T56"/>
  <c r="Q32"/>
  <c r="R32" s="1"/>
  <c r="S32" s="1"/>
  <c r="W32" s="1"/>
  <c r="M16"/>
  <c r="Q15"/>
  <c r="Q38"/>
  <c r="R38" s="1"/>
  <c r="S38" s="1"/>
  <c r="T38" s="1"/>
  <c r="V38" s="1"/>
  <c r="W38" s="1"/>
  <c r="V31"/>
  <c r="W31" s="1"/>
  <c r="Q37"/>
  <c r="R37" s="1"/>
  <c r="S37" s="1"/>
  <c r="W37" s="1"/>
  <c r="L7" a="1"/>
  <c r="L7" s="1"/>
  <c r="L6" a="1"/>
  <c r="L6" s="1"/>
  <c r="L4" a="1"/>
  <c r="L4" s="1"/>
  <c r="Q35"/>
  <c r="R35" s="1"/>
  <c r="V35" s="1"/>
  <c r="W35" s="1"/>
  <c r="Q36"/>
  <c r="R36" s="1"/>
  <c r="S36" s="1"/>
  <c r="V36" s="1"/>
  <c r="W36" s="1"/>
  <c r="N62"/>
  <c r="N64" s="1" a="1"/>
  <c r="N64" s="1"/>
  <c r="N77"/>
  <c r="R41"/>
  <c r="N54" l="1"/>
  <c r="N36"/>
  <c r="N38"/>
  <c r="N37"/>
  <c r="M54"/>
  <c r="N39"/>
  <c r="N35"/>
  <c r="M15"/>
  <c r="L54" a="1"/>
  <c r="L54" s="1"/>
  <c r="V12"/>
  <c r="L38" a="1"/>
  <c r="L38" s="1"/>
  <c r="U56"/>
  <c r="M32"/>
  <c r="M38"/>
  <c r="S41"/>
  <c r="T41" s="1"/>
  <c r="U41" s="1"/>
  <c r="V41" s="1"/>
  <c r="U14"/>
  <c r="U3"/>
  <c r="N41" l="1"/>
  <c r="V56"/>
  <c r="W56" s="1"/>
  <c r="N56" s="1"/>
  <c r="V14"/>
  <c r="V3"/>
  <c r="M56" l="1"/>
  <c r="L56" a="1"/>
  <c r="L56" s="1"/>
  <c r="W14"/>
  <c r="N3"/>
  <c r="O70"/>
  <c r="O76"/>
  <c r="W60" l="1"/>
  <c r="Q40"/>
  <c r="Q76"/>
  <c r="P70"/>
  <c r="O78"/>
  <c r="N13"/>
  <c r="N32"/>
  <c r="N15"/>
  <c r="P71"/>
  <c r="P76"/>
  <c r="Q66" l="1"/>
  <c r="Q60"/>
  <c r="P65"/>
  <c r="Q70"/>
  <c r="R40"/>
  <c r="P78"/>
  <c r="R76"/>
  <c r="Q71"/>
  <c r="R70"/>
  <c r="N16"/>
  <c r="R66" l="1"/>
  <c r="R60"/>
  <c r="Q65"/>
  <c r="Q78"/>
  <c r="S40"/>
  <c r="S76"/>
  <c r="R71"/>
  <c r="R78" s="1"/>
  <c r="S66" l="1"/>
  <c r="R65"/>
  <c r="S60"/>
  <c r="S70"/>
  <c r="T40"/>
  <c r="S71"/>
  <c r="T76"/>
  <c r="T60" l="1"/>
  <c r="S65"/>
  <c r="T66"/>
  <c r="S78"/>
  <c r="T70"/>
  <c r="U40"/>
  <c r="U70"/>
  <c r="U76"/>
  <c r="T71"/>
  <c r="U60" l="1"/>
  <c r="T65"/>
  <c r="T78"/>
  <c r="V40"/>
  <c r="V76"/>
  <c r="U71"/>
  <c r="U78" s="1"/>
  <c r="V60" l="1"/>
  <c r="N40"/>
  <c r="V70"/>
  <c r="N14"/>
  <c r="V71"/>
  <c r="M40" l="1"/>
  <c r="V78"/>
  <c r="W70"/>
  <c r="W71"/>
  <c r="W78" l="1"/>
  <c r="N76"/>
  <c r="N31"/>
  <c r="N70" l="1"/>
  <c r="N71"/>
  <c r="N12"/>
  <c r="N78" l="1"/>
  <c r="P2" l="1"/>
  <c r="M3"/>
  <c r="O69"/>
  <c r="L3" a="1"/>
  <c r="L3" s="1"/>
  <c r="M4" l="1"/>
  <c r="M41"/>
  <c r="O62"/>
  <c r="O64" s="1" a="1"/>
  <c r="O64" s="1"/>
  <c r="Q2"/>
  <c r="P69"/>
  <c r="O63" l="1"/>
  <c r="L44" a="1"/>
  <c r="L44" s="1"/>
  <c r="L42" a="1"/>
  <c r="L42" s="1"/>
  <c r="M42"/>
  <c r="M6"/>
  <c r="L8" a="1"/>
  <c r="L8" s="1"/>
  <c r="R2"/>
  <c r="M5"/>
  <c r="L5" a="1"/>
  <c r="L5" s="1"/>
  <c r="P62"/>
  <c r="Q69"/>
  <c r="P63" l="1"/>
  <c r="P64" a="1"/>
  <c r="P64" s="1"/>
  <c r="M9"/>
  <c r="M10"/>
  <c r="M43"/>
  <c r="L12" a="1"/>
  <c r="L12" s="1"/>
  <c r="M12"/>
  <c r="L45" a="1"/>
  <c r="L45" s="1"/>
  <c r="L43" a="1"/>
  <c r="L43" s="1"/>
  <c r="M8"/>
  <c r="Q62"/>
  <c r="Q63" s="1"/>
  <c r="S2"/>
  <c r="M45" s="1"/>
  <c r="R69"/>
  <c r="Q64" l="1" a="1"/>
  <c r="Q64" s="1"/>
  <c r="L17" a="1"/>
  <c r="L17" s="1"/>
  <c r="L21" a="1"/>
  <c r="L21" s="1"/>
  <c r="L23" a="1"/>
  <c r="L23" s="1"/>
  <c r="L18" a="1"/>
  <c r="L18" s="1"/>
  <c r="L22" a="1"/>
  <c r="L22" s="1"/>
  <c r="L20" a="1"/>
  <c r="L20" s="1"/>
  <c r="L19" a="1"/>
  <c r="L19" s="1"/>
  <c r="L37" a="1"/>
  <c r="L37" s="1"/>
  <c r="L31" a="1"/>
  <c r="L31" s="1"/>
  <c r="M14"/>
  <c r="L16" a="1"/>
  <c r="L16" s="1"/>
  <c r="M48"/>
  <c r="L48" a="1"/>
  <c r="L48" s="1"/>
  <c r="L25" a="1"/>
  <c r="L25" s="1"/>
  <c r="L28" a="1"/>
  <c r="L28" s="1"/>
  <c r="L29" a="1"/>
  <c r="L29" s="1"/>
  <c r="L47" a="1"/>
  <c r="L47" s="1"/>
  <c r="M13"/>
  <c r="L10" a="1"/>
  <c r="L10" s="1"/>
  <c r="L14" a="1"/>
  <c r="L14" s="1"/>
  <c r="L13" a="1"/>
  <c r="L13" s="1"/>
  <c r="M11"/>
  <c r="L11" a="1"/>
  <c r="L11" s="1"/>
  <c r="R62"/>
  <c r="R63" s="1"/>
  <c r="T2"/>
  <c r="M25" s="1"/>
  <c r="S69"/>
  <c r="L33" l="1" a="1"/>
  <c r="L33" s="1"/>
  <c r="M49"/>
  <c r="L24" a="1"/>
  <c r="L24" s="1"/>
  <c r="M19"/>
  <c r="M20"/>
  <c r="M46"/>
  <c r="L32" a="1"/>
  <c r="L32" s="1"/>
  <c r="L39" a="1"/>
  <c r="L39" s="1"/>
  <c r="L35" a="1"/>
  <c r="L35" s="1"/>
  <c r="M36"/>
  <c r="M31"/>
  <c r="M35"/>
  <c r="L34" a="1"/>
  <c r="L34" s="1"/>
  <c r="L49" a="1"/>
  <c r="L49" s="1"/>
  <c r="L36" a="1"/>
  <c r="L36" s="1"/>
  <c r="R64" a="1"/>
  <c r="R64" s="1"/>
  <c r="S62"/>
  <c r="S63" s="1"/>
  <c r="T69"/>
  <c r="U2"/>
  <c r="M7" s="1"/>
  <c r="L30" l="1" a="1"/>
  <c r="L30" s="1"/>
  <c r="M33"/>
  <c r="M34"/>
  <c r="L50" a="1"/>
  <c r="L50" s="1"/>
  <c r="M37"/>
  <c r="L40" a="1"/>
  <c r="L40" s="1"/>
  <c r="L41" a="1"/>
  <c r="L41" s="1"/>
  <c r="S64" a="1"/>
  <c r="S64" s="1"/>
  <c r="T62"/>
  <c r="T63" s="1"/>
  <c r="V2"/>
  <c r="L15" a="1"/>
  <c r="L15" s="1"/>
  <c r="U69"/>
  <c r="T64" l="1" a="1"/>
  <c r="T64" s="1"/>
  <c r="W2"/>
  <c r="J60" s="1"/>
  <c r="U62"/>
  <c r="U63" s="1"/>
  <c r="V69"/>
  <c r="U64" l="1" a="1"/>
  <c r="U64" s="1"/>
  <c r="V62"/>
  <c r="K61"/>
  <c r="V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<sst xmlns="http://schemas.openxmlformats.org/spreadsheetml/2006/main" count="286" uniqueCount="132">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</sst>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5" fillId="2" borderId="1" xfId="1" quotePrefix="1" applyFont="1" applyFill="1" applyBorder="1" applyAlignment="1" applyProtection="1">
      <alignment horizontal="center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290719630195478"/>
          <c:y val="0.12626359758127714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177.25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</c:ser>
        <c:dLbls/>
        <c:marker val="1"/>
        <c:axId val="171050112"/>
        <c:axId val="171051648"/>
      </c:lineChart>
      <c:catAx>
        <c:axId val="171050112"/>
        <c:scaling>
          <c:orientation val="minMax"/>
        </c:scaling>
        <c:axPos val="b"/>
        <c:numFmt formatCode="dd-mm-aaaa" sourceLinked="1"/>
        <c:tickLblPos val="nextTo"/>
        <c:crossAx val="171051648"/>
        <c:crosses val="autoZero"/>
        <c:lblAlgn val="ctr"/>
        <c:lblOffset val="100"/>
      </c:catAx>
      <c:valAx>
        <c:axId val="17105164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</c:title>
        <c:numFmt formatCode="Estandar" sourceLinked="1"/>
        <c:tickLblPos val="nextTo"/>
        <c:crossAx val="17105011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I27" activePane="bottomRight" state="frozen"/>
      <selection pane="topRight" activeCell="F1" sqref="F1"/>
      <selection pane="bottomLeft" activeCell="A3" sqref="A3"/>
      <selection pane="bottomRight" activeCell="U30" sqref="U30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41421</v>
      </c>
      <c r="N7" s="56">
        <f t="shared" si="3"/>
        <v>46.75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f>0.5+2</f>
        <v>2.5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U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>
        <f t="shared" si="1"/>
        <v>41414</v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">
        <v>113</v>
      </c>
      <c r="V15" s="51" t="str">
        <f t="shared" si="5"/>
        <v>X</v>
      </c>
      <c r="W15" s="51" t="str">
        <f t="shared" si="5"/>
        <v>X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>
        <f t="shared" si="1"/>
        <v>41421</v>
      </c>
      <c r="N16" s="56">
        <f t="shared" si="3"/>
        <v>1.75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>
        <v>0</v>
      </c>
      <c r="U16" s="51">
        <f>0.25+0.5</f>
        <v>0.75</v>
      </c>
      <c r="V16" s="51" t="s">
        <v>113</v>
      </c>
      <c r="W16" s="51" t="str">
        <f t="shared" si="5"/>
        <v>X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>
        <f t="shared" si="1"/>
        <v>41421</v>
      </c>
      <c r="N17" s="56">
        <f t="shared" si="3"/>
        <v>0.75</v>
      </c>
      <c r="O17" s="51"/>
      <c r="P17" s="51"/>
      <c r="Q17" s="51"/>
      <c r="R17" s="51"/>
      <c r="S17" s="51">
        <v>0.25</v>
      </c>
      <c r="T17" s="90">
        <v>0</v>
      </c>
      <c r="U17" s="51">
        <v>0.5</v>
      </c>
      <c r="V17" s="51" t="s">
        <v>112</v>
      </c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>
        <f t="shared" si="1"/>
        <v>41414</v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 t="s">
        <v>112</v>
      </c>
      <c r="V18" s="51" t="s">
        <v>112</v>
      </c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2.25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>
        <f>0.5</f>
        <v>0.5</v>
      </c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6.5</v>
      </c>
      <c r="O22" s="51"/>
      <c r="P22" s="51"/>
      <c r="Q22" s="51"/>
      <c r="R22" s="51"/>
      <c r="S22" s="51">
        <v>2</v>
      </c>
      <c r="T22" s="51">
        <v>4</v>
      </c>
      <c r="U22" s="51">
        <v>0.5</v>
      </c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41421</v>
      </c>
      <c r="N25" s="56">
        <f t="shared" si="3"/>
        <v>1</v>
      </c>
      <c r="O25" s="51"/>
      <c r="P25" s="51"/>
      <c r="Q25" s="51"/>
      <c r="R25" s="51"/>
      <c r="S25" s="51">
        <v>0.45</v>
      </c>
      <c r="T25" s="51">
        <v>0.3</v>
      </c>
      <c r="U25" s="51">
        <v>0.25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>
        <f t="array" ref="L26">IF(ISNA(INDEX($O$2:$DA$2,1,MATCH(1,IF($O26:$DM26,1),0))),"",INDEX($O$2:$DA$2,1,MATCH(1,IF($O26:$DM26,1),0)))</f>
        <v>41421</v>
      </c>
      <c r="M26" s="55">
        <f t="shared" si="1"/>
        <v>41421</v>
      </c>
      <c r="N26" s="56">
        <f t="shared" si="3"/>
        <v>0.75</v>
      </c>
      <c r="O26" s="51"/>
      <c r="P26" s="51"/>
      <c r="Q26" s="51"/>
      <c r="R26" s="51"/>
      <c r="S26" s="51"/>
      <c r="T26" s="51"/>
      <c r="U26" s="51">
        <f>0.75</f>
        <v>0.75</v>
      </c>
      <c r="V26" s="51" t="s">
        <v>112</v>
      </c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>
        <f t="array" ref="L27">IF(ISNA(INDEX($O$2:$DA$2,1,MATCH(1,IF($O27:$DM27,1),0))),"",INDEX($O$2:$DA$2,1,MATCH(1,IF($O27:$DM27,1),0)))</f>
        <v>41421</v>
      </c>
      <c r="M27" s="55">
        <f t="shared" si="1"/>
        <v>41421</v>
      </c>
      <c r="N27" s="56">
        <f t="shared" si="3"/>
        <v>0.25</v>
      </c>
      <c r="O27" s="51"/>
      <c r="P27" s="51"/>
      <c r="Q27" s="51"/>
      <c r="R27" s="51"/>
      <c r="S27" s="51"/>
      <c r="T27" s="51"/>
      <c r="U27" s="51">
        <v>0.25</v>
      </c>
      <c r="V27" s="51" t="s">
        <v>112</v>
      </c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>
        <f t="shared" si="1"/>
        <v>41421</v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 t="s">
        <v>113</v>
      </c>
      <c r="W28" s="51" t="s">
        <v>113</v>
      </c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>
        <f t="shared" si="1"/>
        <v>41421</v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 t="s">
        <v>113</v>
      </c>
      <c r="W29" s="51" t="s">
        <v>113</v>
      </c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>
        <f t="shared" si="1"/>
        <v>41421</v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 t="s">
        <v>113</v>
      </c>
      <c r="W30" s="51" t="s">
        <v>113</v>
      </c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>
        <f t="shared" si="1"/>
        <v>41421</v>
      </c>
      <c r="N32" s="56">
        <f t="shared" si="3"/>
        <v>1.25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>
        <v>0.5</v>
      </c>
      <c r="V32" s="51" t="s">
        <v>112</v>
      </c>
      <c r="W32" s="51" t="str">
        <f t="shared" si="9"/>
        <v>X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3.25</v>
      </c>
      <c r="O33" s="51"/>
      <c r="P33" s="51"/>
      <c r="Q33" s="51"/>
      <c r="R33" s="51"/>
      <c r="S33" s="51"/>
      <c r="T33" s="51">
        <v>1.5</v>
      </c>
      <c r="U33" s="51">
        <f>0.75 + 1</f>
        <v>1.75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1.65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>
        <f>1.15+0.5</f>
        <v>1.65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1.75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>
        <f>0.75+1</f>
        <v>1.75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>
        <f t="array" ref="L40">IF(ISNA(INDEX($O$2:$DA$2,1,MATCH(1,IF($O38:$DM38,1),0))),"",INDEX($O$2:$DA$2,1,MATCH(1,IF($O38:$DM38,1),0)))</f>
        <v>41421</v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>
        <f t="array" ref="L41">IF(ISNA(INDEX($O$2:$DA$2,1,MATCH(1,IF($O39:$DM39,1),0))),"",INDEX($O$2:$DA$2,1,MATCH(1,IF($O39:$DM39,1),0)))</f>
        <v>41421</v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0.5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>
        <f>0.25+0.25</f>
        <v>0.5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>
        <f t="array" ref="L50">IF(ISNA(INDEX($O$2:$DA$2,1,MATCH(1,IF($O50:$DM50,1),0))),"",INDEX($O$2:$DA$2,1,MATCH(1,IF($O50:$DM50,1),0)))</f>
        <v>41421</v>
      </c>
      <c r="M50" s="55" t="str">
        <f t="shared" si="29"/>
        <v/>
      </c>
      <c r="N50" s="56">
        <f t="shared" si="18"/>
        <v>0.65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>
        <f>0.15+0.5</f>
        <v>0.65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17.549999999999997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2" t="s">
        <v>60</v>
      </c>
      <c r="J61" s="103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9" t="s">
        <v>0</v>
      </c>
      <c r="D63" s="100"/>
      <c r="E63" s="100"/>
      <c r="F63" s="100"/>
      <c r="G63" s="100"/>
      <c r="H63" s="100"/>
      <c r="I63" s="101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177.25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1" t="s">
        <v>19</v>
      </c>
      <c r="N68" s="92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208.8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828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H20" sqref="H20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2013-06-02T11:20:23Z</dcterms:modified>
</cp:coreProperties>
</file>